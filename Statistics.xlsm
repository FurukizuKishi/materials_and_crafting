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es\Documents\Git Repositories\materials_and_crafting\"/>
    </mc:Choice>
  </mc:AlternateContent>
  <xr:revisionPtr revIDLastSave="0" documentId="13_ncr:1_{61C74168-8050-4D0C-B3A9-02DB24EFFF1F}" xr6:coauthVersionLast="36" xr6:coauthVersionMax="45" xr10:uidLastSave="{00000000-0000-0000-0000-000000000000}"/>
  <bookViews>
    <workbookView xWindow="-120" yWindow="-120" windowWidth="20730" windowHeight="11760" xr2:uid="{E803E1CD-FCE0-47BD-BC1F-D9B61D91FD15}"/>
  </bookViews>
  <sheets>
    <sheet name="Smithing" sheetId="1" r:id="rId1"/>
  </sheets>
  <functionGroups builtInGroupCount="19"/>
  <externalReferences>
    <externalReference r:id="rId2"/>
  </externalReferences>
  <calcPr calcId="19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26" i="1"/>
  <c r="B30" i="1"/>
  <c r="B29" i="1"/>
  <c r="B3" i="1" l="1"/>
  <c r="I4" i="1"/>
  <c r="J4" i="1"/>
  <c r="K4" i="1"/>
  <c r="L4" i="1"/>
  <c r="M4" i="1"/>
  <c r="N4" i="1"/>
  <c r="B24" i="1"/>
  <c r="B18" i="1"/>
  <c r="A18" i="1"/>
  <c r="B28" i="1"/>
  <c r="B27" i="1"/>
  <c r="A27" i="1"/>
  <c r="A28" i="1"/>
  <c r="A29" i="1"/>
  <c r="A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4" i="1"/>
  <c r="B4" i="1"/>
  <c r="A5" i="1"/>
  <c r="B5" i="1"/>
  <c r="A6" i="1"/>
  <c r="B6" i="1"/>
  <c r="A7" i="1"/>
  <c r="B7" i="1"/>
  <c r="A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9" i="1"/>
  <c r="B19" i="1"/>
  <c r="A20" i="1"/>
  <c r="B20" i="1"/>
  <c r="A21" i="1"/>
  <c r="B21" i="1"/>
  <c r="A22" i="1"/>
  <c r="B22" i="1"/>
  <c r="A23" i="1"/>
  <c r="B23" i="1"/>
  <c r="A24" i="1"/>
  <c r="A25" i="1"/>
  <c r="B25" i="1"/>
  <c r="A26" i="1"/>
  <c r="A3" i="1"/>
  <c r="H4" i="1"/>
  <c r="C3" i="1"/>
  <c r="D3" i="1"/>
  <c r="E3" i="1"/>
  <c r="F3" i="1"/>
  <c r="F37" i="1"/>
  <c r="F27" i="1"/>
  <c r="F21" i="1"/>
  <c r="F13" i="1"/>
  <c r="F11" i="1"/>
  <c r="F9" i="1"/>
  <c r="F7" i="1"/>
  <c r="F5" i="1"/>
  <c r="E37" i="1"/>
  <c r="E35" i="1"/>
  <c r="E33" i="1"/>
  <c r="E31" i="1"/>
  <c r="E29" i="1"/>
  <c r="E27" i="1"/>
  <c r="E25" i="1"/>
  <c r="E23" i="1"/>
  <c r="E21" i="1"/>
  <c r="E19" i="1"/>
  <c r="E17" i="1"/>
  <c r="E15" i="1"/>
  <c r="E13" i="1"/>
  <c r="E11" i="1"/>
  <c r="E9" i="1"/>
  <c r="E7" i="1"/>
  <c r="E5" i="1"/>
  <c r="F35" i="1"/>
  <c r="F23" i="1"/>
  <c r="D37" i="1"/>
  <c r="D29" i="1"/>
  <c r="D25" i="1"/>
  <c r="D19" i="1"/>
  <c r="D17" i="1"/>
  <c r="D15" i="1"/>
  <c r="D13" i="1"/>
  <c r="D11" i="1"/>
  <c r="D9" i="1"/>
  <c r="D7" i="1"/>
  <c r="D5" i="1"/>
  <c r="F31" i="1"/>
  <c r="F19" i="1"/>
  <c r="D35" i="1"/>
  <c r="D27" i="1"/>
  <c r="C35" i="1"/>
  <c r="C31" i="1"/>
  <c r="C29" i="1"/>
  <c r="C27" i="1"/>
  <c r="C25" i="1"/>
  <c r="C23" i="1"/>
  <c r="C21" i="1"/>
  <c r="C19" i="1"/>
  <c r="C17" i="1"/>
  <c r="C15" i="1"/>
  <c r="C13" i="1"/>
  <c r="C11" i="1"/>
  <c r="C9" i="1"/>
  <c r="C7" i="1"/>
  <c r="C5" i="1"/>
  <c r="F29" i="1"/>
  <c r="F17" i="1"/>
  <c r="D33" i="1"/>
  <c r="D23" i="1"/>
  <c r="C33" i="1"/>
  <c r="F34" i="1"/>
  <c r="F32" i="1"/>
  <c r="F30" i="1"/>
  <c r="F28" i="1"/>
  <c r="F26" i="1"/>
  <c r="F24" i="1"/>
  <c r="F22" i="1"/>
  <c r="F20" i="1"/>
  <c r="F18" i="1"/>
  <c r="F16" i="1"/>
  <c r="F14" i="1"/>
  <c r="F12" i="1"/>
  <c r="F10" i="1"/>
  <c r="F8" i="1"/>
  <c r="F6" i="1"/>
  <c r="F4" i="1"/>
  <c r="F33" i="1"/>
  <c r="F25" i="1"/>
  <c r="F15" i="1"/>
  <c r="D31" i="1"/>
  <c r="D21" i="1"/>
  <c r="C37" i="1"/>
  <c r="F36" i="1"/>
  <c r="E36" i="1"/>
  <c r="E34" i="1"/>
  <c r="E32" i="1"/>
  <c r="E30" i="1"/>
  <c r="E28" i="1"/>
  <c r="E26" i="1"/>
  <c r="E24" i="1"/>
  <c r="E22" i="1"/>
  <c r="E20" i="1"/>
  <c r="E18" i="1"/>
  <c r="E16" i="1"/>
  <c r="E14" i="1"/>
  <c r="E12" i="1"/>
  <c r="E10" i="1"/>
  <c r="E8" i="1"/>
  <c r="E6" i="1"/>
  <c r="E4" i="1"/>
  <c r="D34" i="1"/>
  <c r="D32" i="1"/>
  <c r="D28" i="1"/>
  <c r="D24" i="1"/>
  <c r="D22" i="1"/>
  <c r="D20" i="1"/>
  <c r="D18" i="1"/>
  <c r="D16" i="1"/>
  <c r="D14" i="1"/>
  <c r="D12" i="1"/>
  <c r="D10" i="1"/>
  <c r="D8" i="1"/>
  <c r="D6" i="1"/>
  <c r="D4" i="1"/>
  <c r="D36" i="1"/>
  <c r="D30" i="1"/>
  <c r="D26" i="1"/>
  <c r="C36" i="1"/>
  <c r="C34" i="1"/>
  <c r="C32" i="1"/>
  <c r="C30" i="1"/>
  <c r="C28" i="1"/>
  <c r="C26" i="1"/>
  <c r="C24" i="1"/>
  <c r="C22" i="1"/>
  <c r="C20" i="1"/>
  <c r="C18" i="1"/>
  <c r="C16" i="1"/>
  <c r="C14" i="1"/>
  <c r="C12" i="1"/>
  <c r="C10" i="1"/>
  <c r="C8" i="1"/>
  <c r="C6" i="1"/>
  <c r="C4" i="1"/>
</calcChain>
</file>

<file path=xl/sharedStrings.xml><?xml version="1.0" encoding="utf-8"?>
<sst xmlns="http://schemas.openxmlformats.org/spreadsheetml/2006/main" count="25" uniqueCount="24">
  <si>
    <t>Metal</t>
  </si>
  <si>
    <t>DC</t>
  </si>
  <si>
    <t>Chance</t>
  </si>
  <si>
    <t>N</t>
  </si>
  <si>
    <t>E</t>
  </si>
  <si>
    <t>M</t>
  </si>
  <si>
    <t>L</t>
  </si>
  <si>
    <t>Level</t>
  </si>
  <si>
    <t>Ability Scores</t>
  </si>
  <si>
    <t>STR</t>
  </si>
  <si>
    <t>DEX</t>
  </si>
  <si>
    <t>CON</t>
  </si>
  <si>
    <t>INT</t>
  </si>
  <si>
    <t>WIS</t>
  </si>
  <si>
    <t>CHA</t>
  </si>
  <si>
    <t>No</t>
  </si>
  <si>
    <t>Yes</t>
  </si>
  <si>
    <t>Bonus</t>
  </si>
  <si>
    <t>Scaling?</t>
  </si>
  <si>
    <t>Guidance?</t>
  </si>
  <si>
    <t>Advantage?</t>
  </si>
  <si>
    <t>Manual Level</t>
  </si>
  <si>
    <t>Desired Result</t>
  </si>
  <si>
    <t>Complete 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</si>
</sst>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+0;\-0"/>
    <numFmt numFmtId="165" formatCode="0.000%"/>
    <numFmt numFmtId="166" formatCode="\+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9" fontId="0" fillId="0" borderId="0" xfId="1" applyFont="1"/>
    <xf numFmtId="0" fontId="0" fillId="0" borderId="0" xfId="0" applyAlignment="1"/>
    <xf numFmtId="165" fontId="0" fillId="0" borderId="0" xfId="1" applyNumberFormat="1" applyFont="1"/>
    <xf numFmtId="164" fontId="0" fillId="0" borderId="1" xfId="0" applyNumberFormat="1" applyBorder="1"/>
    <xf numFmtId="165" fontId="0" fillId="0" borderId="1" xfId="1" applyNumberFormat="1" applyFont="1" applyBorder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/>
  </cellXfs>
  <cellStyles count="2">
    <cellStyle name="Normal" xfId="0" builtinId="0"/>
    <cellStyle name="Percent" xfId="1" builtinId="5"/>
  </cellStyles>
  <dxfs count="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terials%20and%20Crafting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ls"/>
      <sheetName val="Leathers"/>
      <sheetName val="Woods"/>
      <sheetName val="Glasses"/>
      <sheetName val="Silks"/>
      <sheetName val="Plants"/>
      <sheetName val="Gemstones"/>
      <sheetName val="Liquids"/>
    </sheetNames>
    <sheetDataSet>
      <sheetData sheetId="0">
        <row r="2">
          <cell r="A2" t="str">
            <v>Copper</v>
          </cell>
          <cell r="F2">
            <v>-1</v>
          </cell>
        </row>
        <row r="3">
          <cell r="A3" t="str">
            <v>Tin</v>
          </cell>
          <cell r="F3">
            <v>-2</v>
          </cell>
        </row>
        <row r="4">
          <cell r="A4" t="str">
            <v>Brass</v>
          </cell>
          <cell r="F4">
            <v>-1</v>
          </cell>
        </row>
        <row r="5">
          <cell r="A5" t="str">
            <v>Bronze</v>
          </cell>
          <cell r="F5">
            <v>0</v>
          </cell>
        </row>
        <row r="6">
          <cell r="A6" t="str">
            <v>Iron</v>
          </cell>
          <cell r="F6">
            <v>0</v>
          </cell>
        </row>
        <row r="7">
          <cell r="A7" t="str">
            <v>Steel</v>
          </cell>
          <cell r="F7">
            <v>1</v>
          </cell>
        </row>
        <row r="8">
          <cell r="A8" t="str">
            <v>Silver</v>
          </cell>
          <cell r="F8">
            <v>1</v>
          </cell>
        </row>
        <row r="9">
          <cell r="A9" t="str">
            <v>Gold</v>
          </cell>
          <cell r="F9">
            <v>3</v>
          </cell>
        </row>
        <row r="10">
          <cell r="A10" t="str">
            <v>Electrum</v>
          </cell>
          <cell r="F10">
            <v>5</v>
          </cell>
        </row>
        <row r="11">
          <cell r="A11" t="str">
            <v>Platinum</v>
          </cell>
          <cell r="F11">
            <v>3</v>
          </cell>
        </row>
        <row r="12">
          <cell r="A12" t="str">
            <v>Lead</v>
          </cell>
          <cell r="F12">
            <v>5</v>
          </cell>
        </row>
        <row r="13">
          <cell r="A13" t="str">
            <v>Mercury</v>
          </cell>
          <cell r="F13">
            <v>6</v>
          </cell>
        </row>
        <row r="14">
          <cell r="A14" t="str">
            <v>Adamantine</v>
          </cell>
          <cell r="F14">
            <v>6</v>
          </cell>
        </row>
        <row r="15">
          <cell r="A15" t="str">
            <v>Mithril</v>
          </cell>
          <cell r="F15">
            <v>4</v>
          </cell>
        </row>
        <row r="16">
          <cell r="A16" t="str">
            <v>Cold Steel</v>
          </cell>
          <cell r="F16">
            <v>3</v>
          </cell>
        </row>
        <row r="17">
          <cell r="A17" t="str">
            <v>See 'Cassiterite' gemstone</v>
          </cell>
        </row>
        <row r="18">
          <cell r="A18" t="str">
            <v>Orichalcum</v>
          </cell>
          <cell r="F18">
            <v>8</v>
          </cell>
        </row>
        <row r="19">
          <cell r="A19" t="str">
            <v>Alderus</v>
          </cell>
          <cell r="F19">
            <v>9</v>
          </cell>
        </row>
        <row r="20">
          <cell r="A20" t="str">
            <v>Vulcanine</v>
          </cell>
          <cell r="F20">
            <v>8</v>
          </cell>
        </row>
        <row r="21">
          <cell r="A21" t="str">
            <v>Fulgurite</v>
          </cell>
          <cell r="F21">
            <v>9</v>
          </cell>
        </row>
        <row r="22">
          <cell r="A22" t="str">
            <v>Luthanite</v>
          </cell>
          <cell r="F22">
            <v>10</v>
          </cell>
        </row>
        <row r="23">
          <cell r="A23" t="str">
            <v>Nulgrulite</v>
          </cell>
          <cell r="F23">
            <v>12</v>
          </cell>
        </row>
        <row r="24">
          <cell r="A24" t="str">
            <v>Ataeril</v>
          </cell>
          <cell r="F24">
            <v>8</v>
          </cell>
        </row>
        <row r="25">
          <cell r="A25" t="str">
            <v>See 'Chlorophyte' leather</v>
          </cell>
        </row>
        <row r="26">
          <cell r="A26" t="str">
            <v>See 'Cruorphyte' leather</v>
          </cell>
        </row>
        <row r="27">
          <cell r="A27" t="str">
            <v>Necrodermis</v>
          </cell>
        </row>
        <row r="28">
          <cell r="A28" t="str">
            <v>See 'Plagueshell' leather</v>
          </cell>
        </row>
        <row r="29">
          <cell r="A29" t="str">
            <v>Celesteel</v>
          </cell>
          <cell r="F29">
            <v>6</v>
          </cell>
        </row>
        <row r="30">
          <cell r="A30" t="str">
            <v>Celesturum</v>
          </cell>
          <cell r="F30">
            <v>8</v>
          </cell>
        </row>
        <row r="31">
          <cell r="A31" t="str">
            <v>Stygian Iron</v>
          </cell>
          <cell r="F31">
            <v>6</v>
          </cell>
        </row>
        <row r="32">
          <cell r="A32" t="str">
            <v>Stygian Steel</v>
          </cell>
          <cell r="F32">
            <v>8</v>
          </cell>
        </row>
        <row r="33">
          <cell r="A33" t="str">
            <v>Proteus</v>
          </cell>
          <cell r="F33">
            <v>6</v>
          </cell>
        </row>
        <row r="34">
          <cell r="A34" t="str">
            <v>Olympite</v>
          </cell>
          <cell r="F34">
            <v>8</v>
          </cell>
        </row>
        <row r="35">
          <cell r="A35" t="str">
            <v>Anticrystal Gallium</v>
          </cell>
          <cell r="F35">
            <v>8</v>
          </cell>
        </row>
        <row r="36">
          <cell r="A36" t="str">
            <v>Antillium/Atium</v>
          </cell>
          <cell r="F36">
            <v>10</v>
          </cell>
        </row>
      </sheetData>
      <sheetData sheetId="1">
        <row r="7">
          <cell r="F7">
            <v>7</v>
          </cell>
        </row>
        <row r="8">
          <cell r="F8">
            <v>5</v>
          </cell>
        </row>
        <row r="9">
          <cell r="F9">
            <v>5</v>
          </cell>
        </row>
        <row r="10">
          <cell r="F10">
            <v>6</v>
          </cell>
        </row>
      </sheetData>
      <sheetData sheetId="2" refreshError="1"/>
      <sheetData sheetId="3" refreshError="1"/>
      <sheetData sheetId="4" refreshError="1"/>
      <sheetData sheetId="5" refreshError="1"/>
      <sheetData sheetId="6">
        <row r="22">
          <cell r="F22">
            <v>7</v>
          </cell>
        </row>
      </sheetData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27A86-F512-4036-8E98-FBDCE475F23F}">
  <sheetPr codeName="Sheet1"/>
  <dimension ref="A1:O37"/>
  <sheetViews>
    <sheetView tabSelected="1" workbookViewId="0">
      <selection activeCell="G7" sqref="G7"/>
    </sheetView>
  </sheetViews>
  <sheetFormatPr defaultRowHeight="15" x14ac:dyDescent="0.25"/>
  <cols>
    <col min="1" max="1" width="36.5703125" customWidth="1"/>
    <col min="3" max="3" width="11.140625" style="2" bestFit="1" customWidth="1"/>
    <col min="4" max="5" width="9.140625" style="2"/>
    <col min="6" max="6" width="9.140625" style="2" customWidth="1"/>
    <col min="8" max="8" width="12.5703125" customWidth="1"/>
  </cols>
  <sheetData>
    <row r="1" spans="1:15" x14ac:dyDescent="0.25">
      <c r="A1" s="12" t="s">
        <v>0</v>
      </c>
      <c r="B1" s="12" t="s">
        <v>1</v>
      </c>
      <c r="C1" s="13" t="s">
        <v>2</v>
      </c>
      <c r="D1" s="13"/>
      <c r="E1" s="13"/>
      <c r="F1" s="13"/>
      <c r="H1" s="12" t="s">
        <v>7</v>
      </c>
      <c r="I1" s="13" t="s">
        <v>8</v>
      </c>
      <c r="J1" s="13"/>
      <c r="K1" s="13"/>
      <c r="L1" s="13"/>
      <c r="M1" s="13"/>
      <c r="N1" s="13"/>
      <c r="O1" s="3"/>
    </row>
    <row r="2" spans="1:15" x14ac:dyDescent="0.25">
      <c r="A2" s="14"/>
      <c r="B2" s="14"/>
      <c r="C2" s="15" t="s">
        <v>3</v>
      </c>
      <c r="D2" s="15" t="s">
        <v>4</v>
      </c>
      <c r="E2" s="15" t="s">
        <v>5</v>
      </c>
      <c r="F2" s="15" t="s">
        <v>6</v>
      </c>
      <c r="H2" s="14"/>
      <c r="I2" s="15" t="s">
        <v>9</v>
      </c>
      <c r="J2" s="15" t="s">
        <v>10</v>
      </c>
      <c r="K2" s="15" t="s">
        <v>11</v>
      </c>
      <c r="L2" s="15" t="s">
        <v>12</v>
      </c>
      <c r="M2" s="15" t="s">
        <v>13</v>
      </c>
      <c r="N2" s="15" t="s">
        <v>14</v>
      </c>
    </row>
    <row r="3" spans="1:15" x14ac:dyDescent="0.25">
      <c r="A3" t="str">
        <f>[1]Metals!$A2</f>
        <v>Copper</v>
      </c>
      <c r="B3">
        <f>[1]Metals!$F2</f>
        <v>-1</v>
      </c>
      <c r="C3" s="4">
        <f>SMITHING_CHECK($B3, $I$4, $K$4, $M$4, $H$4, 1, $I$9, $I$6, $I$7, $H$15)</f>
        <v>0.93181507031984778</v>
      </c>
      <c r="D3" s="4">
        <f>SMITHING_CHECK($B3, $I$4, $K$4, $M$4, $H$4, 2, $I$9, $I$6, $I$7, $H$15)</f>
        <v>0.9900374375390627</v>
      </c>
      <c r="E3" s="4">
        <f>SMITHING_CHECK($B3, $I$4, $K$4, $M$4, $H$4, 3, $I$9, $I$6, $I$7, $H$15)</f>
        <v>0.93181507031984789</v>
      </c>
      <c r="F3" s="4">
        <f>SMITHING_CHECK($B3, $I$4, $K$4, $M$4, $H$4, 4, $I$9, $I$6, $I$7, $H$15)</f>
        <v>0.77396006250000005</v>
      </c>
      <c r="H3">
        <v>1</v>
      </c>
      <c r="I3">
        <v>16</v>
      </c>
      <c r="J3">
        <v>16</v>
      </c>
      <c r="K3">
        <v>14</v>
      </c>
      <c r="L3">
        <v>10</v>
      </c>
      <c r="M3">
        <v>12</v>
      </c>
      <c r="N3">
        <v>14</v>
      </c>
    </row>
    <row r="4" spans="1:15" x14ac:dyDescent="0.25">
      <c r="A4" t="str">
        <f>[1]Metals!$A3</f>
        <v>Tin</v>
      </c>
      <c r="B4">
        <f>[1]Metals!$F3</f>
        <v>-2</v>
      </c>
      <c r="C4" s="4">
        <f t="shared" ref="C4:C37" si="0">SMITHING_CHECK($B4, $I$4, $K$4, $M$4, $H$4, 1, $I$9, $I$6, $I$7, $H$15)</f>
        <v>0.97520562562500002</v>
      </c>
      <c r="D4" s="4">
        <f t="shared" ref="D4:D37" si="1">SMITHING_CHECK($B4, $I$4, $K$4, $M$4, $H$4, 2, $I$9, $I$6, $I$7, $H$15)</f>
        <v>0.97520562562500002</v>
      </c>
      <c r="E4" s="4">
        <f t="shared" ref="E4:E37" si="2">SMITHING_CHECK($B4, $I$4, $K$4, $M$4, $H$4, 3, $I$9, $I$6, $I$7, $H$15)</f>
        <v>0.86307072825599995</v>
      </c>
      <c r="F4" s="4">
        <f t="shared" ref="F4:F37" si="3">SMITHING_CHECK($B4, $I$4, $K$4, $M$4, $H$4, 4, $I$9, $I$6, $I$7, $H$15)</f>
        <v>0.67076100000000005</v>
      </c>
      <c r="H4" s="5">
        <f xml:space="preserve"> CEILING($H$3 / 4, 1) + 1</f>
        <v>2</v>
      </c>
      <c r="I4" s="5">
        <f>FLOOR((I3 - 10) / 2, 1)</f>
        <v>3</v>
      </c>
      <c r="J4" s="5">
        <f t="shared" ref="J4:N4" si="4">FLOOR((J3 - 10) / 2, 1)</f>
        <v>3</v>
      </c>
      <c r="K4" s="5">
        <f t="shared" si="4"/>
        <v>2</v>
      </c>
      <c r="L4" s="5">
        <f t="shared" si="4"/>
        <v>0</v>
      </c>
      <c r="M4" s="5">
        <f t="shared" si="4"/>
        <v>1</v>
      </c>
      <c r="N4" s="5">
        <f t="shared" si="4"/>
        <v>2</v>
      </c>
    </row>
    <row r="5" spans="1:15" x14ac:dyDescent="0.25">
      <c r="A5" t="str">
        <f>[1]Metals!$A4</f>
        <v>Brass</v>
      </c>
      <c r="B5">
        <f>[1]Metals!$F4</f>
        <v>-1</v>
      </c>
      <c r="C5" s="4">
        <f t="shared" si="0"/>
        <v>0.93181507031984778</v>
      </c>
      <c r="D5" s="4">
        <f t="shared" si="1"/>
        <v>0.9900374375390627</v>
      </c>
      <c r="E5" s="4">
        <f t="shared" si="2"/>
        <v>0.93181507031984789</v>
      </c>
      <c r="F5" s="4">
        <f t="shared" si="3"/>
        <v>0.77396006250000005</v>
      </c>
    </row>
    <row r="6" spans="1:15" x14ac:dyDescent="0.25">
      <c r="A6" t="str">
        <f>[1]Metals!$A5</f>
        <v>Bronze</v>
      </c>
      <c r="B6">
        <f>[1]Metals!$F5</f>
        <v>0</v>
      </c>
      <c r="C6" s="4">
        <f t="shared" si="0"/>
        <v>0.86307072825600006</v>
      </c>
      <c r="D6" s="4">
        <f t="shared" si="1"/>
        <v>0.97520562562500002</v>
      </c>
      <c r="E6" s="4">
        <f t="shared" si="2"/>
        <v>0.97520562562500002</v>
      </c>
      <c r="F6" s="4">
        <f t="shared" si="3"/>
        <v>0.86307072825599995</v>
      </c>
      <c r="H6" s="11" t="s">
        <v>19</v>
      </c>
      <c r="I6" t="s">
        <v>15</v>
      </c>
    </row>
    <row r="7" spans="1:15" x14ac:dyDescent="0.25">
      <c r="A7" t="str">
        <f>[1]Metals!$A6</f>
        <v>Iron</v>
      </c>
      <c r="B7">
        <f>[1]Metals!$F6</f>
        <v>0</v>
      </c>
      <c r="C7" s="4">
        <f t="shared" si="0"/>
        <v>0.86307072825600006</v>
      </c>
      <c r="D7" s="4">
        <f t="shared" si="1"/>
        <v>0.97520562562500002</v>
      </c>
      <c r="E7" s="4">
        <f t="shared" si="2"/>
        <v>0.97520562562500002</v>
      </c>
      <c r="F7" s="4">
        <f t="shared" si="3"/>
        <v>0.86307072825599995</v>
      </c>
      <c r="H7" s="11" t="s">
        <v>20</v>
      </c>
      <c r="I7" t="s">
        <v>16</v>
      </c>
    </row>
    <row r="8" spans="1:15" x14ac:dyDescent="0.25">
      <c r="A8" t="str">
        <f>[1]Metals!$A7</f>
        <v>Steel</v>
      </c>
      <c r="B8">
        <f>[1]Metals!$F7</f>
        <v>1</v>
      </c>
      <c r="C8" s="4">
        <f t="shared" si="0"/>
        <v>0.77396006250000005</v>
      </c>
      <c r="D8" s="4">
        <f t="shared" si="1"/>
        <v>0.93181507031984778</v>
      </c>
      <c r="E8" s="4">
        <f t="shared" si="2"/>
        <v>0.9900374375390627</v>
      </c>
      <c r="F8" s="4">
        <f t="shared" si="3"/>
        <v>0.93181507031984789</v>
      </c>
    </row>
    <row r="9" spans="1:15" x14ac:dyDescent="0.25">
      <c r="A9" t="str">
        <f>[1]Metals!$A8</f>
        <v>Silver</v>
      </c>
      <c r="B9">
        <f>[1]Metals!$F8</f>
        <v>1</v>
      </c>
      <c r="C9" s="4">
        <f t="shared" si="0"/>
        <v>0.77396006250000005</v>
      </c>
      <c r="D9" s="4">
        <f t="shared" si="1"/>
        <v>0.93181507031984778</v>
      </c>
      <c r="E9" s="4">
        <f t="shared" si="2"/>
        <v>0.9900374375390627</v>
      </c>
      <c r="F9" s="4">
        <f t="shared" si="3"/>
        <v>0.93181507031984789</v>
      </c>
      <c r="H9" s="11" t="s">
        <v>17</v>
      </c>
      <c r="I9" s="7">
        <v>0</v>
      </c>
    </row>
    <row r="10" spans="1:15" x14ac:dyDescent="0.25">
      <c r="A10" t="str">
        <f>[1]Metals!$A9</f>
        <v>Gold</v>
      </c>
      <c r="B10">
        <f>[1]Metals!$F9</f>
        <v>3</v>
      </c>
      <c r="C10" s="4">
        <f t="shared" si="0"/>
        <v>0.5604276934204101</v>
      </c>
      <c r="D10" s="4">
        <f t="shared" si="1"/>
        <v>0.77396006250000005</v>
      </c>
      <c r="E10" s="4">
        <f t="shared" si="2"/>
        <v>0.93181507031984778</v>
      </c>
      <c r="F10" s="4">
        <f t="shared" si="3"/>
        <v>0.9900374375390627</v>
      </c>
    </row>
    <row r="11" spans="1:15" x14ac:dyDescent="0.25">
      <c r="A11" t="str">
        <f>[1]Metals!$A10</f>
        <v>Electrum</v>
      </c>
      <c r="B11">
        <f>[1]Metals!$F10</f>
        <v>5</v>
      </c>
      <c r="C11" s="4">
        <f t="shared" si="0"/>
        <v>0.34555263248756241</v>
      </c>
      <c r="D11" s="4">
        <f t="shared" si="1"/>
        <v>0.5604276934204101</v>
      </c>
      <c r="E11" s="4">
        <f t="shared" si="2"/>
        <v>0.77396006250000005</v>
      </c>
      <c r="F11" s="4">
        <f t="shared" si="3"/>
        <v>0.93181507031984778</v>
      </c>
      <c r="H11" s="11" t="s">
        <v>18</v>
      </c>
      <c r="I11" t="s">
        <v>16</v>
      </c>
    </row>
    <row r="12" spans="1:15" x14ac:dyDescent="0.25">
      <c r="A12" t="str">
        <f>[1]Metals!$A11</f>
        <v>Platinum</v>
      </c>
      <c r="B12">
        <f>[1]Metals!$F11</f>
        <v>3</v>
      </c>
      <c r="C12" s="4">
        <f t="shared" si="0"/>
        <v>0.5604276934204101</v>
      </c>
      <c r="D12" s="4">
        <f t="shared" si="1"/>
        <v>0.77396006250000005</v>
      </c>
      <c r="E12" s="4">
        <f t="shared" si="2"/>
        <v>0.93181507031984778</v>
      </c>
      <c r="F12" s="4">
        <f t="shared" si="3"/>
        <v>0.9900374375390627</v>
      </c>
      <c r="H12" s="11" t="s">
        <v>21</v>
      </c>
      <c r="I12" s="8">
        <v>6</v>
      </c>
    </row>
    <row r="13" spans="1:15" x14ac:dyDescent="0.25">
      <c r="A13" t="str">
        <f>[1]Metals!$A12</f>
        <v>Lead</v>
      </c>
      <c r="B13">
        <f>[1]Metals!$F12</f>
        <v>5</v>
      </c>
      <c r="C13" s="4">
        <f t="shared" si="0"/>
        <v>0.34555263248756241</v>
      </c>
      <c r="D13" s="4">
        <f t="shared" si="1"/>
        <v>0.5604276934204101</v>
      </c>
      <c r="E13" s="4">
        <f t="shared" si="2"/>
        <v>0.77396006250000005</v>
      </c>
      <c r="F13" s="4">
        <f t="shared" si="3"/>
        <v>0.93181507031984778</v>
      </c>
    </row>
    <row r="14" spans="1:15" x14ac:dyDescent="0.25">
      <c r="A14" t="str">
        <f>[1]Metals!$A13</f>
        <v>Mercury</v>
      </c>
      <c r="B14">
        <f>[1]Metals!$F13</f>
        <v>6</v>
      </c>
      <c r="C14" s="4">
        <f t="shared" si="0"/>
        <v>0.25243088062499996</v>
      </c>
      <c r="D14" s="4">
        <f t="shared" si="1"/>
        <v>0.44992031912099989</v>
      </c>
      <c r="E14" s="4">
        <f t="shared" si="2"/>
        <v>0.67076100000000005</v>
      </c>
      <c r="F14" s="4">
        <f t="shared" si="3"/>
        <v>0.86307072825600006</v>
      </c>
      <c r="H14" s="10" t="s">
        <v>22</v>
      </c>
      <c r="I14" s="10"/>
      <c r="J14" s="3"/>
    </row>
    <row r="15" spans="1:15" x14ac:dyDescent="0.25">
      <c r="A15" t="str">
        <f>[1]Metals!$A14</f>
        <v>Adamantine</v>
      </c>
      <c r="B15">
        <f>[1]Metals!$F14</f>
        <v>6</v>
      </c>
      <c r="C15" s="4">
        <f t="shared" si="0"/>
        <v>0.25243088062499996</v>
      </c>
      <c r="D15" s="4">
        <f t="shared" si="1"/>
        <v>0.44992031912099989</v>
      </c>
      <c r="E15" s="4">
        <f t="shared" si="2"/>
        <v>0.67076100000000005</v>
      </c>
      <c r="F15" s="4">
        <f t="shared" si="3"/>
        <v>0.86307072825600006</v>
      </c>
      <c r="H15" s="9" t="s">
        <v>23</v>
      </c>
      <c r="I15" s="9"/>
      <c r="J15" s="3"/>
    </row>
    <row r="16" spans="1:15" x14ac:dyDescent="0.25">
      <c r="A16" t="str">
        <f>[1]Metals!$A15</f>
        <v>Mithril</v>
      </c>
      <c r="B16">
        <f>[1]Metals!$F15</f>
        <v>4</v>
      </c>
      <c r="C16" s="4">
        <f t="shared" si="0"/>
        <v>0.44992031912099989</v>
      </c>
      <c r="D16" s="4">
        <f t="shared" si="1"/>
        <v>0.67076100000000005</v>
      </c>
      <c r="E16" s="4">
        <f t="shared" si="2"/>
        <v>0.86307072825600006</v>
      </c>
      <c r="F16" s="4">
        <f t="shared" si="3"/>
        <v>0.97520562562500002</v>
      </c>
    </row>
    <row r="17" spans="1:6" x14ac:dyDescent="0.25">
      <c r="A17" t="str">
        <f>[1]Metals!$A16</f>
        <v>Cold Steel</v>
      </c>
      <c r="B17">
        <f>[1]Metals!$F16</f>
        <v>3</v>
      </c>
      <c r="C17" s="4">
        <f t="shared" si="0"/>
        <v>0.5604276934204101</v>
      </c>
      <c r="D17" s="4">
        <f t="shared" si="1"/>
        <v>0.77396006250000005</v>
      </c>
      <c r="E17" s="4">
        <f t="shared" si="2"/>
        <v>0.93181507031984778</v>
      </c>
      <c r="F17" s="4">
        <f t="shared" si="3"/>
        <v>0.9900374375390627</v>
      </c>
    </row>
    <row r="18" spans="1:6" x14ac:dyDescent="0.25">
      <c r="A18" t="str">
        <f>[1]Metals!$A17</f>
        <v>See 'Cassiterite' gemstone</v>
      </c>
      <c r="B18">
        <f>[1]Gemstones!$F$22</f>
        <v>7</v>
      </c>
      <c r="C18" s="4">
        <f t="shared" si="0"/>
        <v>0.17404932131103518</v>
      </c>
      <c r="D18" s="4">
        <f t="shared" si="1"/>
        <v>0.34555263248756241</v>
      </c>
      <c r="E18" s="4">
        <f t="shared" si="2"/>
        <v>0.5604276934204101</v>
      </c>
      <c r="F18" s="4">
        <f t="shared" si="3"/>
        <v>0.77396006250000005</v>
      </c>
    </row>
    <row r="19" spans="1:6" x14ac:dyDescent="0.25">
      <c r="A19" t="str">
        <f>[1]Metals!$A18</f>
        <v>Orichalcum</v>
      </c>
      <c r="B19">
        <f>[1]Metals!$F18</f>
        <v>8</v>
      </c>
      <c r="C19" s="4">
        <f t="shared" si="0"/>
        <v>0.11209104</v>
      </c>
      <c r="D19" s="4">
        <f t="shared" si="1"/>
        <v>0.25243088062499996</v>
      </c>
      <c r="E19" s="4">
        <f t="shared" si="2"/>
        <v>0.44992031912099989</v>
      </c>
      <c r="F19" s="4">
        <f t="shared" si="3"/>
        <v>0.67076100000000005</v>
      </c>
    </row>
    <row r="20" spans="1:6" x14ac:dyDescent="0.25">
      <c r="A20" t="str">
        <f>[1]Metals!$A19</f>
        <v>Alderus</v>
      </c>
      <c r="B20">
        <f>[1]Metals!$F19</f>
        <v>9</v>
      </c>
      <c r="C20" s="4">
        <f t="shared" si="0"/>
        <v>6.6458777616000012E-2</v>
      </c>
      <c r="D20" s="4">
        <f t="shared" si="1"/>
        <v>0.17404932131103518</v>
      </c>
      <c r="E20" s="4">
        <f t="shared" si="2"/>
        <v>0.34555263248756241</v>
      </c>
      <c r="F20" s="4">
        <f t="shared" si="3"/>
        <v>0.5604276934204101</v>
      </c>
    </row>
    <row r="21" spans="1:6" x14ac:dyDescent="0.25">
      <c r="A21" t="str">
        <f>[1]Metals!$A20</f>
        <v>Vulcanine</v>
      </c>
      <c r="B21">
        <f>[1]Metals!$F20</f>
        <v>8</v>
      </c>
      <c r="C21" s="4">
        <f t="shared" si="0"/>
        <v>0.11209104</v>
      </c>
      <c r="D21" s="4">
        <f t="shared" si="1"/>
        <v>0.25243088062499996</v>
      </c>
      <c r="E21" s="4">
        <f t="shared" si="2"/>
        <v>0.44992031912099989</v>
      </c>
      <c r="F21" s="4">
        <f t="shared" si="3"/>
        <v>0.67076100000000005</v>
      </c>
    </row>
    <row r="22" spans="1:6" x14ac:dyDescent="0.25">
      <c r="A22" t="str">
        <f>[1]Metals!$A21</f>
        <v>Fulgurite</v>
      </c>
      <c r="B22">
        <f>[1]Metals!$F21</f>
        <v>9</v>
      </c>
      <c r="C22" s="4">
        <f t="shared" si="0"/>
        <v>6.6458777616000012E-2</v>
      </c>
      <c r="D22" s="4">
        <f t="shared" si="1"/>
        <v>0.17404932131103518</v>
      </c>
      <c r="E22" s="4">
        <f t="shared" si="2"/>
        <v>0.34555263248756241</v>
      </c>
      <c r="F22" s="4">
        <f t="shared" si="3"/>
        <v>0.5604276934204101</v>
      </c>
    </row>
    <row r="23" spans="1:6" x14ac:dyDescent="0.25">
      <c r="A23" t="str">
        <f>[1]Metals!$A22</f>
        <v>Luthanite</v>
      </c>
      <c r="B23">
        <f>[1]Metals!$F22</f>
        <v>10</v>
      </c>
      <c r="C23" s="4">
        <f t="shared" si="0"/>
        <v>3.5530742015999997E-2</v>
      </c>
      <c r="D23" s="4">
        <f t="shared" si="1"/>
        <v>0.11209104</v>
      </c>
      <c r="E23" s="4">
        <f t="shared" si="2"/>
        <v>0.25243088062499996</v>
      </c>
      <c r="F23" s="4">
        <f t="shared" si="3"/>
        <v>0.44992031912099989</v>
      </c>
    </row>
    <row r="24" spans="1:6" x14ac:dyDescent="0.25">
      <c r="A24" t="str">
        <f>[1]Metals!$A23</f>
        <v>Nulgrulite</v>
      </c>
      <c r="B24">
        <f>[1]Metals!$F23</f>
        <v>12</v>
      </c>
      <c r="C24" s="4">
        <f t="shared" si="0"/>
        <v>6.4521056249999993E-3</v>
      </c>
      <c r="D24" s="4">
        <f t="shared" si="1"/>
        <v>3.5530742015999997E-2</v>
      </c>
      <c r="E24" s="4">
        <f t="shared" si="2"/>
        <v>0.11209104</v>
      </c>
      <c r="F24" s="4">
        <f t="shared" si="3"/>
        <v>0.25243088062499996</v>
      </c>
    </row>
    <row r="25" spans="1:6" x14ac:dyDescent="0.25">
      <c r="A25" t="str">
        <f>[1]Metals!$A24</f>
        <v>Ataeril</v>
      </c>
      <c r="B25">
        <f>[1]Metals!$F24</f>
        <v>8</v>
      </c>
      <c r="C25" s="4">
        <f t="shared" si="0"/>
        <v>0.11209104</v>
      </c>
      <c r="D25" s="4">
        <f t="shared" si="1"/>
        <v>0.25243088062499996</v>
      </c>
      <c r="E25" s="4">
        <f t="shared" si="2"/>
        <v>0.44992031912099989</v>
      </c>
      <c r="F25" s="4">
        <f t="shared" si="3"/>
        <v>0.67076100000000005</v>
      </c>
    </row>
    <row r="26" spans="1:6" x14ac:dyDescent="0.25">
      <c r="A26" t="str">
        <f>[1]Metals!$A25</f>
        <v>See 'Chlorophyte' leather</v>
      </c>
      <c r="B26">
        <f>[1]Leathers!$F$8 + 2</f>
        <v>7</v>
      </c>
      <c r="C26" s="4">
        <f t="shared" si="0"/>
        <v>0.17404932131103518</v>
      </c>
      <c r="D26" s="4">
        <f t="shared" si="1"/>
        <v>0.34555263248756241</v>
      </c>
      <c r="E26" s="4">
        <f t="shared" si="2"/>
        <v>0.5604276934204101</v>
      </c>
      <c r="F26" s="4">
        <f t="shared" si="3"/>
        <v>0.77396006250000005</v>
      </c>
    </row>
    <row r="27" spans="1:6" x14ac:dyDescent="0.25">
      <c r="A27" t="str">
        <f>[1]Metals!$A26</f>
        <v>See 'Cruorphyte' leather</v>
      </c>
      <c r="B27">
        <f>[1]Leathers!$F$9 + 2</f>
        <v>7</v>
      </c>
      <c r="C27" s="4">
        <f t="shared" si="0"/>
        <v>0.17404932131103518</v>
      </c>
      <c r="D27" s="4">
        <f t="shared" si="1"/>
        <v>0.34555263248756241</v>
      </c>
      <c r="E27" s="4">
        <f t="shared" si="2"/>
        <v>0.5604276934204101</v>
      </c>
      <c r="F27" s="4">
        <f t="shared" si="3"/>
        <v>0.77396006250000005</v>
      </c>
    </row>
    <row r="28" spans="1:6" x14ac:dyDescent="0.25">
      <c r="A28" t="str">
        <f>[1]Metals!$A27</f>
        <v>Necrodermis</v>
      </c>
      <c r="B28">
        <f>[1]Leathers!$F$10 + 2</f>
        <v>8</v>
      </c>
      <c r="C28" s="4">
        <f t="shared" si="0"/>
        <v>0.11209104</v>
      </c>
      <c r="D28" s="4">
        <f t="shared" si="1"/>
        <v>0.25243088062499996</v>
      </c>
      <c r="E28" s="4">
        <f t="shared" si="2"/>
        <v>0.44992031912099989</v>
      </c>
      <c r="F28" s="4">
        <f t="shared" si="3"/>
        <v>0.67076100000000005</v>
      </c>
    </row>
    <row r="29" spans="1:6" x14ac:dyDescent="0.25">
      <c r="A29" t="str">
        <f>[1]Metals!$A28</f>
        <v>See 'Plagueshell' leather</v>
      </c>
      <c r="B29">
        <f>[1]Leathers!$F$7 + 2</f>
        <v>9</v>
      </c>
      <c r="C29" s="4">
        <f t="shared" si="0"/>
        <v>6.6458777616000012E-2</v>
      </c>
      <c r="D29" s="4">
        <f t="shared" si="1"/>
        <v>0.17404932131103518</v>
      </c>
      <c r="E29" s="4">
        <f t="shared" si="2"/>
        <v>0.34555263248756241</v>
      </c>
      <c r="F29" s="4">
        <f t="shared" si="3"/>
        <v>0.5604276934204101</v>
      </c>
    </row>
    <row r="30" spans="1:6" x14ac:dyDescent="0.25">
      <c r="A30" t="str">
        <f>[1]Metals!$A29</f>
        <v>Celesteel</v>
      </c>
      <c r="B30">
        <f>[1]Metals!$F29</f>
        <v>6</v>
      </c>
      <c r="C30" s="4">
        <f t="shared" si="0"/>
        <v>0.25243088062499996</v>
      </c>
      <c r="D30" s="4">
        <f t="shared" si="1"/>
        <v>0.44992031912099989</v>
      </c>
      <c r="E30" s="4">
        <f t="shared" si="2"/>
        <v>0.67076100000000005</v>
      </c>
      <c r="F30" s="4">
        <f t="shared" si="3"/>
        <v>0.86307072825600006</v>
      </c>
    </row>
    <row r="31" spans="1:6" x14ac:dyDescent="0.25">
      <c r="A31" t="str">
        <f>[1]Metals!$A30</f>
        <v>Celesturum</v>
      </c>
      <c r="B31">
        <f>[1]Metals!$F30</f>
        <v>8</v>
      </c>
      <c r="C31" s="4">
        <f t="shared" si="0"/>
        <v>0.11209104</v>
      </c>
      <c r="D31" s="4">
        <f t="shared" si="1"/>
        <v>0.25243088062499996</v>
      </c>
      <c r="E31" s="4">
        <f t="shared" si="2"/>
        <v>0.44992031912099989</v>
      </c>
      <c r="F31" s="4">
        <f t="shared" si="3"/>
        <v>0.67076100000000005</v>
      </c>
    </row>
    <row r="32" spans="1:6" x14ac:dyDescent="0.25">
      <c r="A32" t="str">
        <f>[1]Metals!$A31</f>
        <v>Stygian Iron</v>
      </c>
      <c r="B32">
        <f>[1]Metals!$F31</f>
        <v>6</v>
      </c>
      <c r="C32" s="4">
        <f t="shared" si="0"/>
        <v>0.25243088062499996</v>
      </c>
      <c r="D32" s="4">
        <f t="shared" si="1"/>
        <v>0.44992031912099989</v>
      </c>
      <c r="E32" s="4">
        <f t="shared" si="2"/>
        <v>0.67076100000000005</v>
      </c>
      <c r="F32" s="4">
        <f t="shared" si="3"/>
        <v>0.86307072825600006</v>
      </c>
    </row>
    <row r="33" spans="1:6" x14ac:dyDescent="0.25">
      <c r="A33" t="str">
        <f>[1]Metals!$A32</f>
        <v>Stygian Steel</v>
      </c>
      <c r="B33">
        <f>[1]Metals!$F32</f>
        <v>8</v>
      </c>
      <c r="C33" s="4">
        <f t="shared" si="0"/>
        <v>0.11209104</v>
      </c>
      <c r="D33" s="4">
        <f t="shared" si="1"/>
        <v>0.25243088062499996</v>
      </c>
      <c r="E33" s="4">
        <f t="shared" si="2"/>
        <v>0.44992031912099989</v>
      </c>
      <c r="F33" s="4">
        <f t="shared" si="3"/>
        <v>0.67076100000000005</v>
      </c>
    </row>
    <row r="34" spans="1:6" x14ac:dyDescent="0.25">
      <c r="A34" t="str">
        <f>[1]Metals!$A33</f>
        <v>Proteus</v>
      </c>
      <c r="B34">
        <f>[1]Metals!$F33</f>
        <v>6</v>
      </c>
      <c r="C34" s="4">
        <f t="shared" si="0"/>
        <v>0.25243088062499996</v>
      </c>
      <c r="D34" s="4">
        <f t="shared" si="1"/>
        <v>0.44992031912099989</v>
      </c>
      <c r="E34" s="4">
        <f t="shared" si="2"/>
        <v>0.67076100000000005</v>
      </c>
      <c r="F34" s="4">
        <f t="shared" si="3"/>
        <v>0.86307072825600006</v>
      </c>
    </row>
    <row r="35" spans="1:6" x14ac:dyDescent="0.25">
      <c r="A35" t="str">
        <f>[1]Metals!$A34</f>
        <v>Olympite</v>
      </c>
      <c r="B35">
        <f>[1]Metals!$F34</f>
        <v>8</v>
      </c>
      <c r="C35" s="4">
        <f t="shared" si="0"/>
        <v>0.11209104</v>
      </c>
      <c r="D35" s="4">
        <f t="shared" si="1"/>
        <v>0.25243088062499996</v>
      </c>
      <c r="E35" s="4">
        <f t="shared" si="2"/>
        <v>0.44992031912099989</v>
      </c>
      <c r="F35" s="4">
        <f t="shared" si="3"/>
        <v>0.67076100000000005</v>
      </c>
    </row>
    <row r="36" spans="1:6" x14ac:dyDescent="0.25">
      <c r="A36" t="str">
        <f>[1]Metals!$A35</f>
        <v>Anticrystal Gallium</v>
      </c>
      <c r="B36">
        <f>[1]Metals!$F35</f>
        <v>8</v>
      </c>
      <c r="C36" s="4">
        <f t="shared" si="0"/>
        <v>0.11209104</v>
      </c>
      <c r="D36" s="4">
        <f t="shared" si="1"/>
        <v>0.25243088062499996</v>
      </c>
      <c r="E36" s="4">
        <f t="shared" si="2"/>
        <v>0.44992031912099989</v>
      </c>
      <c r="F36" s="4">
        <f t="shared" si="3"/>
        <v>0.67076100000000005</v>
      </c>
    </row>
    <row r="37" spans="1:6" x14ac:dyDescent="0.25">
      <c r="A37" s="1" t="str">
        <f>[1]Metals!$A36</f>
        <v>Antillium/Atium</v>
      </c>
      <c r="B37" s="1">
        <f>[1]Metals!$F36</f>
        <v>10</v>
      </c>
      <c r="C37" s="6">
        <f t="shared" si="0"/>
        <v>3.5530742015999997E-2</v>
      </c>
      <c r="D37" s="6">
        <f t="shared" si="1"/>
        <v>0.11209104</v>
      </c>
      <c r="E37" s="6">
        <f t="shared" si="2"/>
        <v>0.25243088062499996</v>
      </c>
      <c r="F37" s="6">
        <f t="shared" si="3"/>
        <v>0.44992031912099989</v>
      </c>
    </row>
  </sheetData>
  <mergeCells count="7">
    <mergeCell ref="H14:I14"/>
    <mergeCell ref="H15:I15"/>
    <mergeCell ref="C1:F1"/>
    <mergeCell ref="B1:B2"/>
    <mergeCell ref="A1:A2"/>
    <mergeCell ref="I1:N1"/>
    <mergeCell ref="H1:H2"/>
  </mergeCells>
  <conditionalFormatting sqref="C3:F37">
    <cfRule type="expression" dxfId="0" priority="5">
      <formula>$I$9 &gt; 0</formula>
    </cfRule>
  </conditionalFormatting>
  <dataValidations count="3">
    <dataValidation type="list" allowBlank="1" showInputMessage="1" showErrorMessage="1" sqref="I6:I7 I10:I11" xr:uid="{468CA42B-14AB-40BE-942D-25D5F151C1D9}">
      <formula1>"Yes, No"</formula1>
    </dataValidation>
    <dataValidation type="list" allowBlank="1" showInputMessage="1" showErrorMessage="1" sqref="I9" xr:uid="{3AB3C522-DF33-4B55-8FBC-56CD7CD5D575}">
      <formula1>"0, 1, 2, 3, 4"</formula1>
    </dataValidation>
    <dataValidation type="list" allowBlank="1" showInputMessage="1" showErrorMessage="1" sqref="H15:I15" xr:uid="{D7AE994E-57B8-4F64-8132-F3E93FB60F16}">
      <formula1>"Partial Success, Complete Success"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Smithing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Knight</dc:creator>
  <cp:lastModifiedBy>Charles</cp:lastModifiedBy>
  <dcterms:created xsi:type="dcterms:W3CDTF">2021-01-30T22:51:48Z</dcterms:created>
  <dcterms:modified xsi:type="dcterms:W3CDTF">2021-05-27T22:38:11Z</dcterms:modified>
</cp:coreProperties>
</file>