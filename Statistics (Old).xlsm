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vbaProject.bin" ContentType="application/vnd.ms-office.vbaProject"/>
  <Override PartName="/xl/externalLinks/_rels/externalLink1.xml.rels" ContentType="application/vnd.openxmlformats-package.relationships+xml"/>
  <Override PartName="/xl/externalLinks/externalLink1.xml" ContentType="application/vnd.openxmlformats-officedocument.spreadsheetml.externalLink+xml"/>
  <Override PartName="/xl/sharedStrings.xml" ContentType="application/vnd.openxmlformats-officedocument.spreadsheetml.sharedStrings+xml"/>
  <Override PartName="/xl/_rels/workbook.xml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Smithing" sheetId="1" state="visible" r:id="rId3"/>
  </sheets>
  <externalReferences>
    <externalReference r:id="rId4"/>
  </externalReferenc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<sst xmlns="http://schemas.openxmlformats.org/spreadsheetml/2006/main" count="25" uniqueCount="24">
  <si>
    <t xml:space="preserve">Metal</t>
  </si>
  <si>
    <t xml:space="preserve">DC</t>
  </si>
  <si>
    <t xml:space="preserve">Chance</t>
  </si>
  <si>
    <t xml:space="preserve">Level</t>
  </si>
  <si>
    <t xml:space="preserve">Ability Scores</t>
  </si>
  <si>
    <t xml:space="preserve">N</t>
  </si>
  <si>
    <t xml:space="preserve">E</t>
  </si>
  <si>
    <t xml:space="preserve">M</t>
  </si>
  <si>
    <t xml:space="preserve">L</t>
  </si>
  <si>
    <t xml:space="preserve">STR</t>
  </si>
  <si>
    <t xml:space="preserve">DEX</t>
  </si>
  <si>
    <t xml:space="preserve">CON</t>
  </si>
  <si>
    <t xml:space="preserve">INT</t>
  </si>
  <si>
    <t xml:space="preserve">WIS</t>
  </si>
  <si>
    <t xml:space="preserve">CHA</t>
  </si>
  <si>
    <t xml:space="preserve">Guidance?</t>
  </si>
  <si>
    <t xml:space="preserve">No</t>
  </si>
  <si>
    <t xml:space="preserve">Advantage?</t>
  </si>
  <si>
    <t xml:space="preserve">Yes</t>
  </si>
  <si>
    <t xml:space="preserve">Bonus</t>
  </si>
  <si>
    <t xml:space="preserve">Scaling?</t>
  </si>
  <si>
    <t xml:space="preserve">Manual Level</t>
  </si>
  <si>
    <t xml:space="preserve">Desired Result</t>
  </si>
  <si>
    <t xml:space="preserve">Complete Success</t>
  </si>
</sst>
</file>

<file path=xl/styles.xml><?xml version="1.0" encoding="utf-8"?>
<styleSheet xmlns="http://schemas.openxmlformats.org/spreadsheetml/2006/main">
  <numFmts count="6">
    <numFmt numFmtId="164" formatCode="General"/>
    <numFmt numFmtId="165" formatCode="0%"/>
    <numFmt numFmtId="166" formatCode="0.000%"/>
    <numFmt numFmtId="167" formatCode="\+0;\-0"/>
    <numFmt numFmtId="168" formatCode="\+0"/>
    <numFmt numFmtId="169" formatCode="General"/>
  </numFmts>
  <fonts count="5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1"/>
      <color rgb="FF000000"/>
      <name val="Calibri"/>
      <family val="2"/>
      <charset val="1"/>
    </font>
  </fonts>
  <fills count="2">
    <fill>
      <patternFill patternType="none"/>
    </fill>
    <fill>
      <patternFill patternType="gray125"/>
    </fill>
  </fills>
  <borders count="2">
    <border diagonalUp="false" diagonalDown="false">
      <left/>
      <right/>
      <top/>
      <bottom/>
      <diagonal/>
    </border>
    <border diagonalUp="false" diagonalDown="false">
      <left/>
      <right/>
      <top/>
      <bottom style="thin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165" fontId="0" fillId="0" borderId="0" applyFont="true" applyBorder="false" applyAlignment="true" applyProtection="false">
      <alignment horizontal="general" vertical="bottom" textRotation="0" wrapText="false" indent="0" shrinkToFit="false"/>
    </xf>
  </cellStyleXfs>
  <cellXfs count="15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4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4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0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7" fontId="0" fillId="0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0" fillId="0" borderId="0" xfId="0" applyFont="fals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0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9" fontId="0" fillId="0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1" xfId="19" applyFont="true" applyBorder="true" applyAlignment="true" applyProtection="true">
      <alignment horizontal="general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dxfs count="1">
    <dxf>
      <font>
        <color rgb="FFBFBFBF"/>
      </font>
      <fill>
        <patternFill>
          <bgColor rgb="FFBFBFBF"/>
        </patternFill>
      </fill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FBFBF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externalLink" Target="externalLinks/externalLink1.xml"/><Relationship Id="rId5" Type="http://schemas.openxmlformats.org/officeDocument/2006/relationships/sharedStrings" Target="sharedStrings.xml"/>
</Relationships>
</file>

<file path=xl/externalLinks/_rels/externalLink1.xml.rels><?xml version="1.0" encoding="UTF-8"?>
<Relationships xmlns="http://schemas.openxmlformats.org/package/2006/relationships"><Relationship Id="rId1" Type="http://schemas.openxmlformats.org/officeDocument/2006/relationships/externalLinkPath" Target="Materials%20and%20Crafting.xlsx" TargetMode="External"/>
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Metals"/>
      <sheetName val="Leathers"/>
      <sheetName val="Woods"/>
      <sheetName val="Glasses"/>
      <sheetName val="Silks"/>
      <sheetName val="Plants"/>
      <sheetName val="Gemstones"/>
      <sheetName val="Liquids"/>
    </sheetNames>
    <sheetDataSet>
      <sheetData sheetId="0">
        <row r="2">
          <cell r="A2" t="str">
            <v>Copper</v>
          </cell>
        </row>
        <row r="2">
          <cell r="F2">
            <v>1</v>
          </cell>
        </row>
        <row r="3">
          <cell r="A3" t="str">
            <v>Tin</v>
          </cell>
        </row>
        <row r="3">
          <cell r="F3">
            <v>0</v>
          </cell>
        </row>
        <row r="4">
          <cell r="A4" t="str">
            <v>Brass</v>
          </cell>
        </row>
        <row r="4">
          <cell r="F4">
            <v>1</v>
          </cell>
        </row>
        <row r="5">
          <cell r="A5" t="str">
            <v>Bronze</v>
          </cell>
        </row>
        <row r="5">
          <cell r="F5">
            <v>2</v>
          </cell>
        </row>
        <row r="6">
          <cell r="A6" t="str">
            <v>Iron</v>
          </cell>
        </row>
        <row r="6">
          <cell r="F6">
            <v>2</v>
          </cell>
        </row>
        <row r="7">
          <cell r="A7" t="str">
            <v>Steel</v>
          </cell>
        </row>
        <row r="7">
          <cell r="F7">
            <v>3</v>
          </cell>
        </row>
        <row r="8">
          <cell r="A8" t="str">
            <v>Silver</v>
          </cell>
        </row>
        <row r="8">
          <cell r="F8">
            <v>4</v>
          </cell>
        </row>
        <row r="9">
          <cell r="A9" t="str">
            <v>Gold</v>
          </cell>
        </row>
        <row r="9">
          <cell r="F9">
            <v>6</v>
          </cell>
        </row>
        <row r="10">
          <cell r="A10" t="str">
            <v>Electrum</v>
          </cell>
        </row>
        <row r="10">
          <cell r="F10">
            <v>5</v>
          </cell>
        </row>
        <row r="11">
          <cell r="A11" t="str">
            <v>Platinum</v>
          </cell>
        </row>
        <row r="11">
          <cell r="F11">
            <v>6</v>
          </cell>
        </row>
        <row r="12">
          <cell r="A12" t="str">
            <v>Lead</v>
          </cell>
        </row>
        <row r="12">
          <cell r="F12">
            <v>7</v>
          </cell>
        </row>
        <row r="13">
          <cell r="A13" t="str">
            <v>Mercury</v>
          </cell>
        </row>
        <row r="13">
          <cell r="F13">
            <v>7</v>
          </cell>
        </row>
        <row r="14">
          <cell r="A14" t="str">
            <v>Adamantine</v>
          </cell>
        </row>
        <row r="14">
          <cell r="F14">
            <v>8</v>
          </cell>
        </row>
        <row r="15">
          <cell r="A15" t="str">
            <v>Mithril</v>
          </cell>
        </row>
        <row r="15">
          <cell r="F15">
            <v>6</v>
          </cell>
        </row>
        <row r="16">
          <cell r="A16" t="str">
            <v>Cold Steel</v>
          </cell>
        </row>
        <row r="16">
          <cell r="F16">
            <v>7</v>
          </cell>
        </row>
        <row r="17">
          <cell r="A17" t="str">
            <v>See 'Cassiterite' gemstone</v>
          </cell>
        </row>
        <row r="18">
          <cell r="A18" t="str">
            <v>Orichalcum</v>
          </cell>
        </row>
        <row r="18">
          <cell r="F18">
            <v>14</v>
          </cell>
        </row>
        <row r="19">
          <cell r="A19" t="str">
            <v>Alderus</v>
          </cell>
        </row>
        <row r="19">
          <cell r="F19">
            <v>14</v>
          </cell>
        </row>
        <row r="20">
          <cell r="A20" t="str">
            <v>Vulcanine</v>
          </cell>
        </row>
        <row r="20">
          <cell r="F20">
            <v>14</v>
          </cell>
        </row>
        <row r="21">
          <cell r="A21" t="str">
            <v>Fulgurite</v>
          </cell>
        </row>
        <row r="21">
          <cell r="F21">
            <v>14</v>
          </cell>
        </row>
        <row r="22">
          <cell r="A22" t="str">
            <v>Luthanite</v>
          </cell>
        </row>
        <row r="22">
          <cell r="F22">
            <v>18</v>
          </cell>
        </row>
        <row r="23">
          <cell r="A23" t="str">
            <v>Nulgrulite</v>
          </cell>
        </row>
        <row r="23">
          <cell r="F23">
            <v>20</v>
          </cell>
        </row>
        <row r="24">
          <cell r="A24" t="str">
            <v>See 'Arctanite' glass</v>
          </cell>
        </row>
        <row r="25">
          <cell r="A25" t="str">
            <v>Ataeril</v>
          </cell>
        </row>
        <row r="26">
          <cell r="A26" t="str">
            <v>See 'Chlorophyte' leather</v>
          </cell>
        </row>
        <row r="27">
          <cell r="A27" t="str">
            <v>See 'Cruorphyte' leather</v>
          </cell>
        </row>
        <row r="28">
          <cell r="A28" t="str">
            <v>Necrodermis</v>
          </cell>
        </row>
        <row r="29">
          <cell r="A29" t="str">
            <v>See 'Plagueshell' leather</v>
          </cell>
        </row>
        <row r="30">
          <cell r="A30" t="str">
            <v>See 'Dragonscale' leather</v>
          </cell>
        </row>
        <row r="31">
          <cell r="A31" t="str">
            <v>See 'Nullscale' leather</v>
          </cell>
        </row>
        <row r="32">
          <cell r="A32" t="str">
            <v>Celesteel</v>
          </cell>
        </row>
        <row r="32">
          <cell r="F32">
            <v>8</v>
          </cell>
        </row>
        <row r="33">
          <cell r="A33" t="str">
            <v>Celesturum</v>
          </cell>
        </row>
        <row r="33">
          <cell r="F33">
            <v>10</v>
          </cell>
        </row>
        <row r="34">
          <cell r="A34" t="str">
            <v>Stygian Iron</v>
          </cell>
        </row>
        <row r="34">
          <cell r="F34">
            <v>8</v>
          </cell>
        </row>
        <row r="35">
          <cell r="A35" t="str">
            <v>Stygian Steel</v>
          </cell>
        </row>
        <row r="35">
          <cell r="F35">
            <v>10</v>
          </cell>
        </row>
        <row r="36">
          <cell r="A36" t="str">
            <v>Proteus</v>
          </cell>
        </row>
        <row r="36">
          <cell r="F36">
            <v>8</v>
          </cell>
        </row>
      </sheetData>
      <sheetData sheetId="1">
        <row r="7">
          <cell r="F7" t="str">
            <v>6 – 8</v>
          </cell>
        </row>
        <row r="8">
          <cell r="F8">
            <v>7</v>
          </cell>
        </row>
        <row r="9">
          <cell r="F9">
            <v>7</v>
          </cell>
        </row>
        <row r="10">
          <cell r="F10">
            <v>8</v>
          </cell>
        </row>
      </sheetData>
      <sheetData sheetId="2"/>
      <sheetData sheetId="3"/>
      <sheetData sheetId="4"/>
      <sheetData sheetId="5"/>
      <sheetData sheetId="6">
        <row r="22">
          <cell r="F22">
            <v>7</v>
          </cell>
        </row>
      </sheetData>
      <sheetData sheetId="7"/>
    </sheetDataSet>
  </externalBook>
</externalLink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O37"/>
  <sheetViews>
    <sheetView showFormulas="false" showGridLines="true" showRowColHeaders="true" showZeros="true" rightToLeft="false" tabSelected="true" showOutlineSymbols="true" defaultGridColor="true" view="normal" topLeftCell="B1" colorId="64" zoomScale="100" zoomScaleNormal="100" zoomScalePageLayoutView="100" workbookViewId="0">
      <selection pane="topLeft" activeCell="I7" activeCellId="0" sqref="I7"/>
    </sheetView>
  </sheetViews>
  <sheetFormatPr defaultColWidth="8.55078125" defaultRowHeight="15" zeroHeight="false" outlineLevelRow="0" outlineLevelCol="0"/>
  <cols>
    <col collapsed="false" customWidth="true" hidden="false" outlineLevel="0" max="1" min="1" style="0" width="36.57"/>
    <col collapsed="false" customWidth="true" hidden="false" outlineLevel="0" max="3" min="3" style="1" width="11.14"/>
    <col collapsed="false" customWidth="true" hidden="false" outlineLevel="0" max="6" min="4" style="1" width="9.14"/>
    <col collapsed="false" customWidth="true" hidden="false" outlineLevel="0" max="8" min="8" style="0" width="12.57"/>
  </cols>
  <sheetData>
    <row r="1" customFormat="false" ht="15" hidden="false" customHeight="false" outlineLevel="0" collapsed="false">
      <c r="A1" s="2" t="s">
        <v>0</v>
      </c>
      <c r="B1" s="2" t="s">
        <v>1</v>
      </c>
      <c r="C1" s="3" t="s">
        <v>2</v>
      </c>
      <c r="D1" s="3"/>
      <c r="E1" s="3"/>
      <c r="F1" s="3"/>
      <c r="H1" s="2" t="s">
        <v>3</v>
      </c>
      <c r="I1" s="3" t="s">
        <v>4</v>
      </c>
      <c r="J1" s="3"/>
      <c r="K1" s="3"/>
      <c r="L1" s="3"/>
      <c r="M1" s="3"/>
      <c r="N1" s="3"/>
      <c r="O1" s="4"/>
    </row>
    <row r="2" customFormat="false" ht="15" hidden="false" customHeight="false" outlineLevel="0" collapsed="false">
      <c r="A2" s="2"/>
      <c r="B2" s="2"/>
      <c r="C2" s="5" t="s">
        <v>5</v>
      </c>
      <c r="D2" s="5" t="s">
        <v>6</v>
      </c>
      <c r="E2" s="5" t="s">
        <v>7</v>
      </c>
      <c r="F2" s="5" t="s">
        <v>8</v>
      </c>
      <c r="H2" s="2"/>
      <c r="I2" s="5" t="s">
        <v>9</v>
      </c>
      <c r="J2" s="5" t="s">
        <v>10</v>
      </c>
      <c r="K2" s="5" t="s">
        <v>11</v>
      </c>
      <c r="L2" s="5" t="s">
        <v>12</v>
      </c>
      <c r="M2" s="5" t="s">
        <v>13</v>
      </c>
      <c r="N2" s="5" t="s">
        <v>14</v>
      </c>
    </row>
    <row r="3" customFormat="false" ht="15" hidden="false" customHeight="false" outlineLevel="0" collapsed="false">
      <c r="A3" s="0" t="str">
        <f aca="false">[1]Metals!$A2</f>
        <v>Copper</v>
      </c>
      <c r="B3" s="0" t="n">
        <f aca="false">[1]Metals!$F2</f>
        <v>1</v>
      </c>
      <c r="C3" s="6" t="e">
        <f aca="false">SMITHING_CHECK($B3, $I$4, $K$4, $M$4, $H$4, 1, $I$9, $I$6, $I$7, $H$15)</f>
        <v>#VALUE!</v>
      </c>
      <c r="D3" s="6" t="e">
        <f aca="false">SMITHING_CHECK($B3, $I$4, $K$4, $M$4, $H$4, 2, $I$9, $I$6, $I$7, $H$15)</f>
        <v>#VALUE!</v>
      </c>
      <c r="E3" s="6" t="e">
        <f aca="false">SMITHING_CHECK($B3, $I$4, $K$4, $M$4, $H$4, 3, $I$9, $I$6, $I$7, $H$15)</f>
        <v>#VALUE!</v>
      </c>
      <c r="F3" s="6" t="e">
        <f aca="false">SMITHING_CHECK($B3, $I$4, $K$4, $M$4, $H$4, 4, $I$9, $I$6, $I$7, $H$15)</f>
        <v>#VALUE!</v>
      </c>
      <c r="H3" s="0" t="n">
        <v>1</v>
      </c>
      <c r="I3" s="0" t="n">
        <v>16</v>
      </c>
      <c r="J3" s="0" t="n">
        <v>16</v>
      </c>
      <c r="K3" s="0" t="n">
        <v>14</v>
      </c>
      <c r="L3" s="0" t="n">
        <v>10</v>
      </c>
      <c r="M3" s="0" t="n">
        <v>12</v>
      </c>
      <c r="N3" s="0" t="n">
        <v>14</v>
      </c>
    </row>
    <row r="4" customFormat="false" ht="15" hidden="false" customHeight="false" outlineLevel="0" collapsed="false">
      <c r="A4" s="0" t="str">
        <f aca="false">[1]Metals!$A3</f>
        <v>Tin</v>
      </c>
      <c r="B4" s="0" t="n">
        <f aca="false">[1]Metals!$F3</f>
        <v>0</v>
      </c>
      <c r="C4" s="6" t="e">
        <f aca="false">SMITHING_CHECK($B4, $I$4, $K$4, $M$4, $H$4, 1, $I$9, $I$6, $I$7, $H$15)</f>
        <v>#VALUE!</v>
      </c>
      <c r="D4" s="6" t="e">
        <f aca="false">SMITHING_CHECK($B4, $I$4, $K$4, $M$4, $H$4, 2, $I$9, $I$6, $I$7, $H$15)</f>
        <v>#VALUE!</v>
      </c>
      <c r="E4" s="6" t="e">
        <f aca="false">SMITHING_CHECK($B4, $I$4, $K$4, $M$4, $H$4, 3, $I$9, $I$6, $I$7, $H$15)</f>
        <v>#VALUE!</v>
      </c>
      <c r="F4" s="6" t="e">
        <f aca="false">SMITHING_CHECK($B4, $I$4, $K$4, $M$4, $H$4, 4, $I$9, $I$6, $I$7, $H$15)</f>
        <v>#VALUE!</v>
      </c>
      <c r="H4" s="7" t="n">
        <f aca="false">CEILING($H$3 / 4, 1) + 1</f>
        <v>2</v>
      </c>
      <c r="I4" s="7" t="n">
        <f aca="false">FLOOR((I3 - 10) / 2, 1)</f>
        <v>3</v>
      </c>
      <c r="J4" s="7" t="n">
        <f aca="false">FLOOR((J3 - 10) / 2, 1)</f>
        <v>3</v>
      </c>
      <c r="K4" s="7" t="n">
        <f aca="false">FLOOR((K3 - 10) / 2, 1)</f>
        <v>2</v>
      </c>
      <c r="L4" s="7" t="n">
        <f aca="false">FLOOR((L3 - 10) / 2, 1)</f>
        <v>0</v>
      </c>
      <c r="M4" s="7" t="n">
        <f aca="false">FLOOR((M3 - 10) / 2, 1)</f>
        <v>1</v>
      </c>
      <c r="N4" s="7" t="n">
        <f aca="false">FLOOR((N3 - 10) / 2, 1)</f>
        <v>2</v>
      </c>
    </row>
    <row r="5" customFormat="false" ht="15" hidden="false" customHeight="false" outlineLevel="0" collapsed="false">
      <c r="A5" s="0" t="str">
        <f aca="false">[1]Metals!$A4</f>
        <v>Brass</v>
      </c>
      <c r="B5" s="0" t="n">
        <f aca="false">[1]Metals!$F4</f>
        <v>1</v>
      </c>
      <c r="C5" s="6" t="e">
        <f aca="false">SMITHING_CHECK($B5, $I$4, $K$4, $M$4, $H$4, 1, $I$9, $I$6, $I$7, $H$15)</f>
        <v>#VALUE!</v>
      </c>
      <c r="D5" s="6" t="e">
        <f aca="false">SMITHING_CHECK($B5, $I$4, $K$4, $M$4, $H$4, 2, $I$9, $I$6, $I$7, $H$15)</f>
        <v>#VALUE!</v>
      </c>
      <c r="E5" s="6" t="e">
        <f aca="false">SMITHING_CHECK($B5, $I$4, $K$4, $M$4, $H$4, 3, $I$9, $I$6, $I$7, $H$15)</f>
        <v>#VALUE!</v>
      </c>
      <c r="F5" s="6" t="e">
        <f aca="false">SMITHING_CHECK($B5, $I$4, $K$4, $M$4, $H$4, 4, $I$9, $I$6, $I$7, $H$15)</f>
        <v>#VALUE!</v>
      </c>
    </row>
    <row r="6" customFormat="false" ht="15" hidden="false" customHeight="false" outlineLevel="0" collapsed="false">
      <c r="A6" s="0" t="str">
        <f aca="false">[1]Metals!$A5</f>
        <v>Bronze</v>
      </c>
      <c r="B6" s="0" t="n">
        <f aca="false">[1]Metals!$F5</f>
        <v>2</v>
      </c>
      <c r="C6" s="6" t="e">
        <f aca="false">SMITHING_CHECK($B6, $I$4, $K$4, $M$4, $H$4, 1, $I$9, $I$6, $I$7, $H$15)</f>
        <v>#VALUE!</v>
      </c>
      <c r="D6" s="6" t="e">
        <f aca="false">SMITHING_CHECK($B6, $I$4, $K$4, $M$4, $H$4, 2, $I$9, $I$6, $I$7, $H$15)</f>
        <v>#VALUE!</v>
      </c>
      <c r="E6" s="6" t="e">
        <f aca="false">SMITHING_CHECK($B6, $I$4, $K$4, $M$4, $H$4, 3, $I$9, $I$6, $I$7, $H$15)</f>
        <v>#VALUE!</v>
      </c>
      <c r="F6" s="6" t="e">
        <f aca="false">SMITHING_CHECK($B6, $I$4, $K$4, $M$4, $H$4, 4, $I$9, $I$6, $I$7, $H$15)</f>
        <v>#VALUE!</v>
      </c>
      <c r="H6" s="8" t="s">
        <v>15</v>
      </c>
      <c r="I6" s="9" t="s">
        <v>16</v>
      </c>
    </row>
    <row r="7" customFormat="false" ht="15" hidden="false" customHeight="false" outlineLevel="0" collapsed="false">
      <c r="A7" s="0" t="str">
        <f aca="false">[1]Metals!$A6</f>
        <v>Iron</v>
      </c>
      <c r="B7" s="0" t="n">
        <f aca="false">[1]Metals!$F6</f>
        <v>2</v>
      </c>
      <c r="C7" s="6" t="e">
        <f aca="false">SMITHING_CHECK($B7, $I$4, $K$4, $M$4, $H$4, 1, $I$9, $I$6, $I$7, $H$15)</f>
        <v>#VALUE!</v>
      </c>
      <c r="D7" s="6" t="e">
        <f aca="false">SMITHING_CHECK($B7, $I$4, $K$4, $M$4, $H$4, 2, $I$9, $I$6, $I$7, $H$15)</f>
        <v>#VALUE!</v>
      </c>
      <c r="E7" s="6" t="e">
        <f aca="false">SMITHING_CHECK($B7, $I$4, $K$4, $M$4, $H$4, 3, $I$9, $I$6, $I$7, $H$15)</f>
        <v>#VALUE!</v>
      </c>
      <c r="F7" s="6" t="e">
        <f aca="false">SMITHING_CHECK($B7, $I$4, $K$4, $M$4, $H$4, 4, $I$9, $I$6, $I$7, $H$15)</f>
        <v>#VALUE!</v>
      </c>
      <c r="H7" s="8" t="s">
        <v>17</v>
      </c>
      <c r="I7" s="9" t="s">
        <v>18</v>
      </c>
    </row>
    <row r="8" customFormat="false" ht="15" hidden="false" customHeight="false" outlineLevel="0" collapsed="false">
      <c r="A8" s="0" t="str">
        <f aca="false">[1]Metals!$A7</f>
        <v>Steel</v>
      </c>
      <c r="B8" s="0" t="n">
        <f aca="false">[1]Metals!$F7</f>
        <v>3</v>
      </c>
      <c r="C8" s="6" t="e">
        <f aca="false">SMITHING_CHECK($B8, $I$4, $K$4, $M$4, $H$4, 1, $I$9, $I$6, $I$7, $H$15)</f>
        <v>#VALUE!</v>
      </c>
      <c r="D8" s="6" t="e">
        <f aca="false">SMITHING_CHECK($B8, $I$4, $K$4, $M$4, $H$4, 2, $I$9, $I$6, $I$7, $H$15)</f>
        <v>#VALUE!</v>
      </c>
      <c r="E8" s="6" t="e">
        <f aca="false">SMITHING_CHECK($B8, $I$4, $K$4, $M$4, $H$4, 3, $I$9, $I$6, $I$7, $H$15)</f>
        <v>#VALUE!</v>
      </c>
      <c r="F8" s="6" t="e">
        <f aca="false">SMITHING_CHECK($B8, $I$4, $K$4, $M$4, $H$4, 4, $I$9, $I$6, $I$7, $H$15)</f>
        <v>#VALUE!</v>
      </c>
    </row>
    <row r="9" customFormat="false" ht="15" hidden="false" customHeight="false" outlineLevel="0" collapsed="false">
      <c r="A9" s="0" t="str">
        <f aca="false">[1]Metals!$A8</f>
        <v>Silver</v>
      </c>
      <c r="B9" s="0" t="n">
        <f aca="false">[1]Metals!$F8</f>
        <v>4</v>
      </c>
      <c r="C9" s="6" t="e">
        <f aca="false">SMITHING_CHECK($B9, $I$4, $K$4, $M$4, $H$4, 1, $I$9, $I$6, $I$7, $H$15)</f>
        <v>#VALUE!</v>
      </c>
      <c r="D9" s="6" t="e">
        <f aca="false">SMITHING_CHECK($B9, $I$4, $K$4, $M$4, $H$4, 2, $I$9, $I$6, $I$7, $H$15)</f>
        <v>#VALUE!</v>
      </c>
      <c r="E9" s="6" t="e">
        <f aca="false">SMITHING_CHECK($B9, $I$4, $K$4, $M$4, $H$4, 3, $I$9, $I$6, $I$7, $H$15)</f>
        <v>#VALUE!</v>
      </c>
      <c r="F9" s="6" t="e">
        <f aca="false">SMITHING_CHECK($B9, $I$4, $K$4, $M$4, $H$4, 4, $I$9, $I$6, $I$7, $H$15)</f>
        <v>#VALUE!</v>
      </c>
      <c r="H9" s="8" t="s">
        <v>19</v>
      </c>
      <c r="I9" s="10" t="n">
        <v>0</v>
      </c>
    </row>
    <row r="10" customFormat="false" ht="15" hidden="false" customHeight="false" outlineLevel="0" collapsed="false">
      <c r="A10" s="0" t="str">
        <f aca="false">[1]Metals!$A9</f>
        <v>Gold</v>
      </c>
      <c r="B10" s="0" t="n">
        <f aca="false">[1]Metals!$F9</f>
        <v>6</v>
      </c>
      <c r="C10" s="6" t="e">
        <f aca="false">SMITHING_CHECK($B10, $I$4, $K$4, $M$4, $H$4, 1, $I$9, $I$6, $I$7, $H$15)</f>
        <v>#VALUE!</v>
      </c>
      <c r="D10" s="6" t="e">
        <f aca="false">SMITHING_CHECK($B10, $I$4, $K$4, $M$4, $H$4, 2, $I$9, $I$6, $I$7, $H$15)</f>
        <v>#VALUE!</v>
      </c>
      <c r="E10" s="6" t="e">
        <f aca="false">SMITHING_CHECK($B10, $I$4, $K$4, $M$4, $H$4, 3, $I$9, $I$6, $I$7, $H$15)</f>
        <v>#VALUE!</v>
      </c>
      <c r="F10" s="6" t="e">
        <f aca="false">SMITHING_CHECK($B10, $I$4, $K$4, $M$4, $H$4, 4, $I$9, $I$6, $I$7, $H$15)</f>
        <v>#VALUE!</v>
      </c>
      <c r="I10" s="9"/>
    </row>
    <row r="11" customFormat="false" ht="15" hidden="false" customHeight="false" outlineLevel="0" collapsed="false">
      <c r="A11" s="0" t="str">
        <f aca="false">[1]Metals!$A10</f>
        <v>Electrum</v>
      </c>
      <c r="B11" s="0" t="n">
        <f aca="false">[1]Metals!$F10</f>
        <v>5</v>
      </c>
      <c r="C11" s="6" t="e">
        <f aca="false">SMITHING_CHECK($B11, $I$4, $K$4, $M$4, $H$4, 1, $I$9, $I$6, $I$7, $H$15)</f>
        <v>#VALUE!</v>
      </c>
      <c r="D11" s="6" t="e">
        <f aca="false">SMITHING_CHECK($B11, $I$4, $K$4, $M$4, $H$4, 2, $I$9, $I$6, $I$7, $H$15)</f>
        <v>#VALUE!</v>
      </c>
      <c r="E11" s="6" t="e">
        <f aca="false">SMITHING_CHECK($B11, $I$4, $K$4, $M$4, $H$4, 3, $I$9, $I$6, $I$7, $H$15)</f>
        <v>#VALUE!</v>
      </c>
      <c r="F11" s="6" t="e">
        <f aca="false">SMITHING_CHECK($B11, $I$4, $K$4, $M$4, $H$4, 4, $I$9, $I$6, $I$7, $H$15)</f>
        <v>#VALUE!</v>
      </c>
      <c r="H11" s="8" t="s">
        <v>20</v>
      </c>
      <c r="I11" s="9" t="s">
        <v>18</v>
      </c>
    </row>
    <row r="12" customFormat="false" ht="15" hidden="false" customHeight="false" outlineLevel="0" collapsed="false">
      <c r="A12" s="0" t="str">
        <f aca="false">[1]Metals!$A11</f>
        <v>Platinum</v>
      </c>
      <c r="B12" s="0" t="n">
        <f aca="false">[1]Metals!$F11</f>
        <v>6</v>
      </c>
      <c r="C12" s="6" t="e">
        <f aca="false">SMITHING_CHECK($B12, $I$4, $K$4, $M$4, $H$4, 1, $I$9, $I$6, $I$7, $H$15)</f>
        <v>#VALUE!</v>
      </c>
      <c r="D12" s="6" t="e">
        <f aca="false">SMITHING_CHECK($B12, $I$4, $K$4, $M$4, $H$4, 2, $I$9, $I$6, $I$7, $H$15)</f>
        <v>#VALUE!</v>
      </c>
      <c r="E12" s="6" t="e">
        <f aca="false">SMITHING_CHECK($B12, $I$4, $K$4, $M$4, $H$4, 3, $I$9, $I$6, $I$7, $H$15)</f>
        <v>#VALUE!</v>
      </c>
      <c r="F12" s="6" t="e">
        <f aca="false">SMITHING_CHECK($B12, $I$4, $K$4, $M$4, $H$4, 4, $I$9, $I$6, $I$7, $H$15)</f>
        <v>#VALUE!</v>
      </c>
      <c r="H12" s="8" t="s">
        <v>21</v>
      </c>
      <c r="I12" s="11" t="n">
        <v>6</v>
      </c>
    </row>
    <row r="13" customFormat="false" ht="15" hidden="false" customHeight="false" outlineLevel="0" collapsed="false">
      <c r="A13" s="0" t="str">
        <f aca="false">[1]Metals!$A12</f>
        <v>Lead</v>
      </c>
      <c r="B13" s="0" t="n">
        <f aca="false">[1]Metals!$F12</f>
        <v>7</v>
      </c>
      <c r="C13" s="6" t="e">
        <f aca="false">SMITHING_CHECK($B13, $I$4, $K$4, $M$4, $H$4, 1, $I$9, $I$6, $I$7, $H$15)</f>
        <v>#VALUE!</v>
      </c>
      <c r="D13" s="6" t="e">
        <f aca="false">SMITHING_CHECK($B13, $I$4, $K$4, $M$4, $H$4, 2, $I$9, $I$6, $I$7, $H$15)</f>
        <v>#VALUE!</v>
      </c>
      <c r="E13" s="6" t="e">
        <f aca="false">SMITHING_CHECK($B13, $I$4, $K$4, $M$4, $H$4, 3, $I$9, $I$6, $I$7, $H$15)</f>
        <v>#VALUE!</v>
      </c>
      <c r="F13" s="6" t="e">
        <f aca="false">SMITHING_CHECK($B13, $I$4, $K$4, $M$4, $H$4, 4, $I$9, $I$6, $I$7, $H$15)</f>
        <v>#VALUE!</v>
      </c>
    </row>
    <row r="14" customFormat="false" ht="15" hidden="false" customHeight="false" outlineLevel="0" collapsed="false">
      <c r="A14" s="0" t="str">
        <f aca="false">[1]Metals!$A13</f>
        <v>Mercury</v>
      </c>
      <c r="B14" s="0" t="n">
        <f aca="false">[1]Metals!$F13</f>
        <v>7</v>
      </c>
      <c r="C14" s="6" t="e">
        <f aca="false">SMITHING_CHECK($B14, $I$4, $K$4, $M$4, $H$4, 1, $I$9, $I$6, $I$7, $H$15)</f>
        <v>#VALUE!</v>
      </c>
      <c r="D14" s="6" t="e">
        <f aca="false">SMITHING_CHECK($B14, $I$4, $K$4, $M$4, $H$4, 2, $I$9, $I$6, $I$7, $H$15)</f>
        <v>#VALUE!</v>
      </c>
      <c r="E14" s="6" t="e">
        <f aca="false">SMITHING_CHECK($B14, $I$4, $K$4, $M$4, $H$4, 3, $I$9, $I$6, $I$7, $H$15)</f>
        <v>#VALUE!</v>
      </c>
      <c r="F14" s="6" t="e">
        <f aca="false">SMITHING_CHECK($B14, $I$4, $K$4, $M$4, $H$4, 4, $I$9, $I$6, $I$7, $H$15)</f>
        <v>#VALUE!</v>
      </c>
      <c r="H14" s="3" t="s">
        <v>22</v>
      </c>
      <c r="I14" s="3"/>
      <c r="J14" s="4"/>
    </row>
    <row r="15" customFormat="false" ht="15" hidden="false" customHeight="false" outlineLevel="0" collapsed="false">
      <c r="A15" s="0" t="str">
        <f aca="false">[1]Metals!$A14</f>
        <v>Adamantine</v>
      </c>
      <c r="B15" s="0" t="n">
        <f aca="false">[1]Metals!$F14</f>
        <v>8</v>
      </c>
      <c r="C15" s="6" t="e">
        <f aca="false">SMITHING_CHECK($B15, $I$4, $K$4, $M$4, $H$4, 1, $I$9, $I$6, $I$7, $H$15)</f>
        <v>#VALUE!</v>
      </c>
      <c r="D15" s="6" t="e">
        <f aca="false">SMITHING_CHECK($B15, $I$4, $K$4, $M$4, $H$4, 2, $I$9, $I$6, $I$7, $H$15)</f>
        <v>#VALUE!</v>
      </c>
      <c r="E15" s="6" t="e">
        <f aca="false">SMITHING_CHECK($B15, $I$4, $K$4, $M$4, $H$4, 3, $I$9, $I$6, $I$7, $H$15)</f>
        <v>#VALUE!</v>
      </c>
      <c r="F15" s="6" t="e">
        <f aca="false">SMITHING_CHECK($B15, $I$4, $K$4, $M$4, $H$4, 4, $I$9, $I$6, $I$7, $H$15)</f>
        <v>#VALUE!</v>
      </c>
      <c r="H15" s="12" t="s">
        <v>23</v>
      </c>
      <c r="I15" s="12"/>
      <c r="J15" s="4"/>
    </row>
    <row r="16" customFormat="false" ht="15" hidden="false" customHeight="false" outlineLevel="0" collapsed="false">
      <c r="A16" s="0" t="str">
        <f aca="false">[1]Metals!$A15</f>
        <v>Mithril</v>
      </c>
      <c r="B16" s="0" t="n">
        <f aca="false">[1]Metals!$F15</f>
        <v>6</v>
      </c>
      <c r="C16" s="6" t="e">
        <f aca="false">SMITHING_CHECK($B16, $I$4, $K$4, $M$4, $H$4, 1, $I$9, $I$6, $I$7, $H$15)</f>
        <v>#VALUE!</v>
      </c>
      <c r="D16" s="6" t="e">
        <f aca="false">SMITHING_CHECK($B16, $I$4, $K$4, $M$4, $H$4, 2, $I$9, $I$6, $I$7, $H$15)</f>
        <v>#VALUE!</v>
      </c>
      <c r="E16" s="6" t="e">
        <f aca="false">SMITHING_CHECK($B16, $I$4, $K$4, $M$4, $H$4, 3, $I$9, $I$6, $I$7, $H$15)</f>
        <v>#VALUE!</v>
      </c>
      <c r="F16" s="6" t="e">
        <f aca="false">SMITHING_CHECK($B16, $I$4, $K$4, $M$4, $H$4, 4, $I$9, $I$6, $I$7, $H$15)</f>
        <v>#VALUE!</v>
      </c>
    </row>
    <row r="17" customFormat="false" ht="15" hidden="false" customHeight="false" outlineLevel="0" collapsed="false">
      <c r="A17" s="0" t="str">
        <f aca="false">[1]Metals!$A16</f>
        <v>Cold Steel</v>
      </c>
      <c r="B17" s="0" t="n">
        <f aca="false">[1]Metals!$F16</f>
        <v>7</v>
      </c>
      <c r="C17" s="6" t="e">
        <f aca="false">SMITHING_CHECK($B17, $I$4, $K$4, $M$4, $H$4, 1, $I$9, $I$6, $I$7, $H$15)</f>
        <v>#VALUE!</v>
      </c>
      <c r="D17" s="6" t="e">
        <f aca="false">SMITHING_CHECK($B17, $I$4, $K$4, $M$4, $H$4, 2, $I$9, $I$6, $I$7, $H$15)</f>
        <v>#VALUE!</v>
      </c>
      <c r="E17" s="6" t="e">
        <f aca="false">SMITHING_CHECK($B17, $I$4, $K$4, $M$4, $H$4, 3, $I$9, $I$6, $I$7, $H$15)</f>
        <v>#VALUE!</v>
      </c>
      <c r="F17" s="6" t="e">
        <f aca="false">SMITHING_CHECK($B17, $I$4, $K$4, $M$4, $H$4, 4, $I$9, $I$6, $I$7, $H$15)</f>
        <v>#VALUE!</v>
      </c>
    </row>
    <row r="18" customFormat="false" ht="15" hidden="false" customHeight="false" outlineLevel="0" collapsed="false">
      <c r="A18" s="0" t="str">
        <f aca="false">[1]Metals!$A17</f>
        <v>See 'Cassiterite' gemstone</v>
      </c>
      <c r="B18" s="0" t="n">
        <f aca="false">[1]Gemstones!$F$22</f>
        <v>7</v>
      </c>
      <c r="C18" s="6" t="e">
        <f aca="false">SMITHING_CHECK($B18, $I$4, $K$4, $M$4, $H$4, 1, $I$9, $I$6, $I$7, $H$15)</f>
        <v>#VALUE!</v>
      </c>
      <c r="D18" s="6" t="e">
        <f aca="false">SMITHING_CHECK($B18, $I$4, $K$4, $M$4, $H$4, 2, $I$9, $I$6, $I$7, $H$15)</f>
        <v>#VALUE!</v>
      </c>
      <c r="E18" s="6" t="e">
        <f aca="false">SMITHING_CHECK($B18, $I$4, $K$4, $M$4, $H$4, 3, $I$9, $I$6, $I$7, $H$15)</f>
        <v>#VALUE!</v>
      </c>
      <c r="F18" s="6" t="e">
        <f aca="false">SMITHING_CHECK($B18, $I$4, $K$4, $M$4, $H$4, 4, $I$9, $I$6, $I$7, $H$15)</f>
        <v>#VALUE!</v>
      </c>
    </row>
    <row r="19" customFormat="false" ht="15" hidden="false" customHeight="false" outlineLevel="0" collapsed="false">
      <c r="A19" s="0" t="str">
        <f aca="false">[1]Metals!$A18</f>
        <v>Orichalcum</v>
      </c>
      <c r="B19" s="0" t="n">
        <f aca="false">[1]Metals!$F18</f>
        <v>14</v>
      </c>
      <c r="C19" s="6" t="e">
        <f aca="false">SMITHING_CHECK($B19, $I$4, $K$4, $M$4, $H$4, 1, $I$9, $I$6, $I$7, $H$15)</f>
        <v>#VALUE!</v>
      </c>
      <c r="D19" s="6" t="e">
        <f aca="false">SMITHING_CHECK($B19, $I$4, $K$4, $M$4, $H$4, 2, $I$9, $I$6, $I$7, $H$15)</f>
        <v>#VALUE!</v>
      </c>
      <c r="E19" s="6" t="e">
        <f aca="false">SMITHING_CHECK($B19, $I$4, $K$4, $M$4, $H$4, 3, $I$9, $I$6, $I$7, $H$15)</f>
        <v>#VALUE!</v>
      </c>
      <c r="F19" s="6" t="e">
        <f aca="false">SMITHING_CHECK($B19, $I$4, $K$4, $M$4, $H$4, 4, $I$9, $I$6, $I$7, $H$15)</f>
        <v>#VALUE!</v>
      </c>
    </row>
    <row r="20" customFormat="false" ht="15" hidden="false" customHeight="false" outlineLevel="0" collapsed="false">
      <c r="A20" s="0" t="str">
        <f aca="false">[1]Metals!$A19</f>
        <v>Alderus</v>
      </c>
      <c r="B20" s="0" t="n">
        <f aca="false">[1]Metals!$F19</f>
        <v>14</v>
      </c>
      <c r="C20" s="6" t="e">
        <f aca="false">SMITHING_CHECK($B20, $I$4, $K$4, $M$4, $H$4, 1, $I$9, $I$6, $I$7, $H$15)</f>
        <v>#VALUE!</v>
      </c>
      <c r="D20" s="6" t="e">
        <f aca="false">SMITHING_CHECK($B20, $I$4, $K$4, $M$4, $H$4, 2, $I$9, $I$6, $I$7, $H$15)</f>
        <v>#VALUE!</v>
      </c>
      <c r="E20" s="6" t="e">
        <f aca="false">SMITHING_CHECK($B20, $I$4, $K$4, $M$4, $H$4, 3, $I$9, $I$6, $I$7, $H$15)</f>
        <v>#VALUE!</v>
      </c>
      <c r="F20" s="6" t="e">
        <f aca="false">SMITHING_CHECK($B20, $I$4, $K$4, $M$4, $H$4, 4, $I$9, $I$6, $I$7, $H$15)</f>
        <v>#VALUE!</v>
      </c>
    </row>
    <row r="21" customFormat="false" ht="15" hidden="false" customHeight="false" outlineLevel="0" collapsed="false">
      <c r="A21" s="0" t="str">
        <f aca="false">[1]Metals!$A20</f>
        <v>Vulcanine</v>
      </c>
      <c r="B21" s="0" t="n">
        <f aca="false">[1]Metals!$F20</f>
        <v>14</v>
      </c>
      <c r="C21" s="6" t="e">
        <f aca="false">SMITHING_CHECK($B21, $I$4, $K$4, $M$4, $H$4, 1, $I$9, $I$6, $I$7, $H$15)</f>
        <v>#VALUE!</v>
      </c>
      <c r="D21" s="6" t="e">
        <f aca="false">SMITHING_CHECK($B21, $I$4, $K$4, $M$4, $H$4, 2, $I$9, $I$6, $I$7, $H$15)</f>
        <v>#VALUE!</v>
      </c>
      <c r="E21" s="6" t="e">
        <f aca="false">SMITHING_CHECK($B21, $I$4, $K$4, $M$4, $H$4, 3, $I$9, $I$6, $I$7, $H$15)</f>
        <v>#VALUE!</v>
      </c>
      <c r="F21" s="6" t="e">
        <f aca="false">SMITHING_CHECK($B21, $I$4, $K$4, $M$4, $H$4, 4, $I$9, $I$6, $I$7, $H$15)</f>
        <v>#VALUE!</v>
      </c>
    </row>
    <row r="22" customFormat="false" ht="15" hidden="false" customHeight="false" outlineLevel="0" collapsed="false">
      <c r="A22" s="0" t="str">
        <f aca="false">[1]Metals!$A21</f>
        <v>Fulgurite</v>
      </c>
      <c r="B22" s="0" t="n">
        <f aca="false">[1]Metals!$F21</f>
        <v>14</v>
      </c>
      <c r="C22" s="6" t="e">
        <f aca="false">SMITHING_CHECK($B22, $I$4, $K$4, $M$4, $H$4, 1, $I$9, $I$6, $I$7, $H$15)</f>
        <v>#VALUE!</v>
      </c>
      <c r="D22" s="6" t="e">
        <f aca="false">SMITHING_CHECK($B22, $I$4, $K$4, $M$4, $H$4, 2, $I$9, $I$6, $I$7, $H$15)</f>
        <v>#VALUE!</v>
      </c>
      <c r="E22" s="6" t="e">
        <f aca="false">SMITHING_CHECK($B22, $I$4, $K$4, $M$4, $H$4, 3, $I$9, $I$6, $I$7, $H$15)</f>
        <v>#VALUE!</v>
      </c>
      <c r="F22" s="6" t="e">
        <f aca="false">SMITHING_CHECK($B22, $I$4, $K$4, $M$4, $H$4, 4, $I$9, $I$6, $I$7, $H$15)</f>
        <v>#VALUE!</v>
      </c>
    </row>
    <row r="23" customFormat="false" ht="15" hidden="false" customHeight="false" outlineLevel="0" collapsed="false">
      <c r="A23" s="0" t="str">
        <f aca="false">[1]Metals!$A22</f>
        <v>Luthanite</v>
      </c>
      <c r="B23" s="0" t="n">
        <f aca="false">[1]Metals!$F22</f>
        <v>18</v>
      </c>
      <c r="C23" s="6" t="e">
        <f aca="false">SMITHING_CHECK($B23, $I$4, $K$4, $M$4, $H$4, 1, $I$9, $I$6, $I$7, $H$15)</f>
        <v>#VALUE!</v>
      </c>
      <c r="D23" s="6" t="e">
        <f aca="false">SMITHING_CHECK($B23, $I$4, $K$4, $M$4, $H$4, 2, $I$9, $I$6, $I$7, $H$15)</f>
        <v>#VALUE!</v>
      </c>
      <c r="E23" s="6" t="e">
        <f aca="false">SMITHING_CHECK($B23, $I$4, $K$4, $M$4, $H$4, 3, $I$9, $I$6, $I$7, $H$15)</f>
        <v>#VALUE!</v>
      </c>
      <c r="F23" s="6" t="e">
        <f aca="false">SMITHING_CHECK($B23, $I$4, $K$4, $M$4, $H$4, 4, $I$9, $I$6, $I$7, $H$15)</f>
        <v>#VALUE!</v>
      </c>
    </row>
    <row r="24" customFormat="false" ht="15" hidden="false" customHeight="false" outlineLevel="0" collapsed="false">
      <c r="A24" s="0" t="str">
        <f aca="false">[1]Metals!$A23</f>
        <v>Nulgrulite</v>
      </c>
      <c r="B24" s="0" t="n">
        <f aca="false">[1]Metals!$F23</f>
        <v>20</v>
      </c>
      <c r="C24" s="6" t="e">
        <f aca="false">SMITHING_CHECK($B24, $I$4, $K$4, $M$4, $H$4, 1, $I$9, $I$6, $I$7, $H$15)</f>
        <v>#VALUE!</v>
      </c>
      <c r="D24" s="6" t="e">
        <f aca="false">SMITHING_CHECK($B24, $I$4, $K$4, $M$4, $H$4, 2, $I$9, $I$6, $I$7, $H$15)</f>
        <v>#VALUE!</v>
      </c>
      <c r="E24" s="6" t="e">
        <f aca="false">SMITHING_CHECK($B24, $I$4, $K$4, $M$4, $H$4, 3, $I$9, $I$6, $I$7, $H$15)</f>
        <v>#VALUE!</v>
      </c>
      <c r="F24" s="6" t="e">
        <f aca="false">SMITHING_CHECK($B24, $I$4, $K$4, $M$4, $H$4, 4, $I$9, $I$6, $I$7, $H$15)</f>
        <v>#VALUE!</v>
      </c>
    </row>
    <row r="25" customFormat="false" ht="15" hidden="false" customHeight="false" outlineLevel="0" collapsed="false">
      <c r="A25" s="0" t="str">
        <f aca="false">[1]Metals!$A24</f>
        <v>See 'Arctanite' glass</v>
      </c>
      <c r="B25" s="0" t="n">
        <f aca="false">[1]Metals!$F24</f>
        <v>0</v>
      </c>
      <c r="C25" s="6" t="e">
        <f aca="false">SMITHING_CHECK($B25, $I$4, $K$4, $M$4, $H$4, 1, $I$9, $I$6, $I$7, $H$15)</f>
        <v>#VALUE!</v>
      </c>
      <c r="D25" s="6" t="e">
        <f aca="false">SMITHING_CHECK($B25, $I$4, $K$4, $M$4, $H$4, 2, $I$9, $I$6, $I$7, $H$15)</f>
        <v>#VALUE!</v>
      </c>
      <c r="E25" s="6" t="e">
        <f aca="false">SMITHING_CHECK($B25, $I$4, $K$4, $M$4, $H$4, 3, $I$9, $I$6, $I$7, $H$15)</f>
        <v>#VALUE!</v>
      </c>
      <c r="F25" s="6" t="e">
        <f aca="false">SMITHING_CHECK($B25, $I$4, $K$4, $M$4, $H$4, 4, $I$9, $I$6, $I$7, $H$15)</f>
        <v>#VALUE!</v>
      </c>
    </row>
    <row r="26" customFormat="false" ht="15" hidden="false" customHeight="false" outlineLevel="0" collapsed="false">
      <c r="A26" s="0" t="str">
        <f aca="false">[1]Metals!$A25</f>
        <v>Ataeril</v>
      </c>
      <c r="B26" s="0" t="n">
        <f aca="false">[1]Leathers!$F$8 + 2</f>
        <v>9</v>
      </c>
      <c r="C26" s="6" t="e">
        <f aca="false">SMITHING_CHECK($B26, $I$4, $K$4, $M$4, $H$4, 1, $I$9, $I$6, $I$7, $H$15)</f>
        <v>#VALUE!</v>
      </c>
      <c r="D26" s="6" t="e">
        <f aca="false">SMITHING_CHECK($B26, $I$4, $K$4, $M$4, $H$4, 2, $I$9, $I$6, $I$7, $H$15)</f>
        <v>#VALUE!</v>
      </c>
      <c r="E26" s="6" t="e">
        <f aca="false">SMITHING_CHECK($B26, $I$4, $K$4, $M$4, $H$4, 3, $I$9, $I$6, $I$7, $H$15)</f>
        <v>#VALUE!</v>
      </c>
      <c r="F26" s="6" t="e">
        <f aca="false">SMITHING_CHECK($B26, $I$4, $K$4, $M$4, $H$4, 4, $I$9, $I$6, $I$7, $H$15)</f>
        <v>#VALUE!</v>
      </c>
    </row>
    <row r="27" customFormat="false" ht="15" hidden="false" customHeight="false" outlineLevel="0" collapsed="false">
      <c r="A27" s="0" t="str">
        <f aca="false">[1]Metals!$A26</f>
        <v>See 'Chlorophyte' leather</v>
      </c>
      <c r="B27" s="0" t="n">
        <f aca="false">[1]Leathers!$F$9 + 2</f>
        <v>9</v>
      </c>
      <c r="C27" s="6" t="e">
        <f aca="false">SMITHING_CHECK($B27, $I$4, $K$4, $M$4, $H$4, 1, $I$9, $I$6, $I$7, $H$15)</f>
        <v>#VALUE!</v>
      </c>
      <c r="D27" s="6" t="e">
        <f aca="false">SMITHING_CHECK($B27, $I$4, $K$4, $M$4, $H$4, 2, $I$9, $I$6, $I$7, $H$15)</f>
        <v>#VALUE!</v>
      </c>
      <c r="E27" s="6" t="e">
        <f aca="false">SMITHING_CHECK($B27, $I$4, $K$4, $M$4, $H$4, 3, $I$9, $I$6, $I$7, $H$15)</f>
        <v>#VALUE!</v>
      </c>
      <c r="F27" s="6" t="e">
        <f aca="false">SMITHING_CHECK($B27, $I$4, $K$4, $M$4, $H$4, 4, $I$9, $I$6, $I$7, $H$15)</f>
        <v>#VALUE!</v>
      </c>
    </row>
    <row r="28" customFormat="false" ht="15" hidden="false" customHeight="false" outlineLevel="0" collapsed="false">
      <c r="A28" s="0" t="str">
        <f aca="false">[1]Metals!$A27</f>
        <v>See 'Cruorphyte' leather</v>
      </c>
      <c r="B28" s="0" t="n">
        <f aca="false">[1]Leathers!$F$10 + 2</f>
        <v>10</v>
      </c>
      <c r="C28" s="6" t="e">
        <f aca="false">SMITHING_CHECK($B28, $I$4, $K$4, $M$4, $H$4, 1, $I$9, $I$6, $I$7, $H$15)</f>
        <v>#VALUE!</v>
      </c>
      <c r="D28" s="6" t="e">
        <f aca="false">SMITHING_CHECK($B28, $I$4, $K$4, $M$4, $H$4, 2, $I$9, $I$6, $I$7, $H$15)</f>
        <v>#VALUE!</v>
      </c>
      <c r="E28" s="6" t="e">
        <f aca="false">SMITHING_CHECK($B28, $I$4, $K$4, $M$4, $H$4, 3, $I$9, $I$6, $I$7, $H$15)</f>
        <v>#VALUE!</v>
      </c>
      <c r="F28" s="6" t="e">
        <f aca="false">SMITHING_CHECK($B28, $I$4, $K$4, $M$4, $H$4, 4, $I$9, $I$6, $I$7, $H$15)</f>
        <v>#VALUE!</v>
      </c>
    </row>
    <row r="29" customFormat="false" ht="15" hidden="false" customHeight="false" outlineLevel="0" collapsed="false">
      <c r="A29" s="0" t="str">
        <f aca="false">[1]Metals!$A28</f>
        <v>Necrodermis</v>
      </c>
      <c r="B29" s="0" t="e">
        <f aca="false">[1]Leathers!$F$7 + 2</f>
        <v>#VALUE!</v>
      </c>
      <c r="C29" s="6" t="e">
        <f aca="false">SMITHING_CHECK($B29, $I$4, $K$4, $M$4, $H$4, 1, $I$9, $I$6, $I$7, $H$15)</f>
        <v>#VALUE!</v>
      </c>
      <c r="D29" s="6" t="e">
        <f aca="false">SMITHING_CHECK($B29, $I$4, $K$4, $M$4, $H$4, 2, $I$9, $I$6, $I$7, $H$15)</f>
        <v>#VALUE!</v>
      </c>
      <c r="E29" s="6" t="e">
        <f aca="false">SMITHING_CHECK($B29, $I$4, $K$4, $M$4, $H$4, 3, $I$9, $I$6, $I$7, $H$15)</f>
        <v>#VALUE!</v>
      </c>
      <c r="F29" s="6" t="e">
        <f aca="false">SMITHING_CHECK($B29, $I$4, $K$4, $M$4, $H$4, 4, $I$9, $I$6, $I$7, $H$15)</f>
        <v>#VALUE!</v>
      </c>
    </row>
    <row r="30" customFormat="false" ht="15" hidden="false" customHeight="false" outlineLevel="0" collapsed="false">
      <c r="A30" s="0" t="str">
        <f aca="false">[1]Metals!$A29</f>
        <v>See 'Plagueshell' leather</v>
      </c>
      <c r="B30" s="0" t="n">
        <f aca="false">[1]Metals!$F29</f>
        <v>0</v>
      </c>
      <c r="C30" s="6" t="e">
        <f aca="false">SMITHING_CHECK($B30, $I$4, $K$4, $M$4, $H$4, 1, $I$9, $I$6, $I$7, $H$15)</f>
        <v>#VALUE!</v>
      </c>
      <c r="D30" s="6" t="e">
        <f aca="false">SMITHING_CHECK($B30, $I$4, $K$4, $M$4, $H$4, 2, $I$9, $I$6, $I$7, $H$15)</f>
        <v>#VALUE!</v>
      </c>
      <c r="E30" s="6" t="e">
        <f aca="false">SMITHING_CHECK($B30, $I$4, $K$4, $M$4, $H$4, 3, $I$9, $I$6, $I$7, $H$15)</f>
        <v>#VALUE!</v>
      </c>
      <c r="F30" s="6" t="e">
        <f aca="false">SMITHING_CHECK($B30, $I$4, $K$4, $M$4, $H$4, 4, $I$9, $I$6, $I$7, $H$15)</f>
        <v>#VALUE!</v>
      </c>
    </row>
    <row r="31" customFormat="false" ht="15" hidden="false" customHeight="false" outlineLevel="0" collapsed="false">
      <c r="A31" s="0" t="str">
        <f aca="false">[1]Metals!$A30</f>
        <v>See 'Dragonscale' leather</v>
      </c>
      <c r="B31" s="0" t="n">
        <f aca="false">[1]Metals!$F30</f>
        <v>0</v>
      </c>
      <c r="C31" s="6" t="e">
        <f aca="false">SMITHING_CHECK($B31, $I$4, $K$4, $M$4, $H$4, 1, $I$9, $I$6, $I$7, $H$15)</f>
        <v>#VALUE!</v>
      </c>
      <c r="D31" s="6" t="e">
        <f aca="false">SMITHING_CHECK($B31, $I$4, $K$4, $M$4, $H$4, 2, $I$9, $I$6, $I$7, $H$15)</f>
        <v>#VALUE!</v>
      </c>
      <c r="E31" s="6" t="e">
        <f aca="false">SMITHING_CHECK($B31, $I$4, $K$4, $M$4, $H$4, 3, $I$9, $I$6, $I$7, $H$15)</f>
        <v>#VALUE!</v>
      </c>
      <c r="F31" s="6" t="e">
        <f aca="false">SMITHING_CHECK($B31, $I$4, $K$4, $M$4, $H$4, 4, $I$9, $I$6, $I$7, $H$15)</f>
        <v>#VALUE!</v>
      </c>
    </row>
    <row r="32" customFormat="false" ht="15" hidden="false" customHeight="false" outlineLevel="0" collapsed="false">
      <c r="A32" s="0" t="str">
        <f aca="false">[1]Metals!$A31</f>
        <v>See 'Nullscale' leather</v>
      </c>
      <c r="B32" s="0" t="n">
        <f aca="false">[1]Metals!$F31</f>
        <v>0</v>
      </c>
      <c r="C32" s="6" t="e">
        <f aca="false">SMITHING_CHECK($B32, $I$4, $K$4, $M$4, $H$4, 1, $I$9, $I$6, $I$7, $H$15)</f>
        <v>#VALUE!</v>
      </c>
      <c r="D32" s="6" t="e">
        <f aca="false">SMITHING_CHECK($B32, $I$4, $K$4, $M$4, $H$4, 2, $I$9, $I$6, $I$7, $H$15)</f>
        <v>#VALUE!</v>
      </c>
      <c r="E32" s="6" t="e">
        <f aca="false">SMITHING_CHECK($B32, $I$4, $K$4, $M$4, $H$4, 3, $I$9, $I$6, $I$7, $H$15)</f>
        <v>#VALUE!</v>
      </c>
      <c r="F32" s="6" t="e">
        <f aca="false">SMITHING_CHECK($B32, $I$4, $K$4, $M$4, $H$4, 4, $I$9, $I$6, $I$7, $H$15)</f>
        <v>#VALUE!</v>
      </c>
    </row>
    <row r="33" customFormat="false" ht="15" hidden="false" customHeight="false" outlineLevel="0" collapsed="false">
      <c r="A33" s="0" t="str">
        <f aca="false">[1]Metals!$A32</f>
        <v>Celesteel</v>
      </c>
      <c r="B33" s="0" t="n">
        <f aca="false">[1]Metals!$F32</f>
        <v>8</v>
      </c>
      <c r="C33" s="6" t="e">
        <f aca="false">SMITHING_CHECK($B33, $I$4, $K$4, $M$4, $H$4, 1, $I$9, $I$6, $I$7, $H$15)</f>
        <v>#VALUE!</v>
      </c>
      <c r="D33" s="6" t="e">
        <f aca="false">SMITHING_CHECK($B33, $I$4, $K$4, $M$4, $H$4, 2, $I$9, $I$6, $I$7, $H$15)</f>
        <v>#VALUE!</v>
      </c>
      <c r="E33" s="6" t="e">
        <f aca="false">SMITHING_CHECK($B33, $I$4, $K$4, $M$4, $H$4, 3, $I$9, $I$6, $I$7, $H$15)</f>
        <v>#VALUE!</v>
      </c>
      <c r="F33" s="6" t="e">
        <f aca="false">SMITHING_CHECK($B33, $I$4, $K$4, $M$4, $H$4, 4, $I$9, $I$6, $I$7, $H$15)</f>
        <v>#VALUE!</v>
      </c>
    </row>
    <row r="34" customFormat="false" ht="15" hidden="false" customHeight="false" outlineLevel="0" collapsed="false">
      <c r="A34" s="0" t="str">
        <f aca="false">[1]Metals!$A33</f>
        <v>Celesturum</v>
      </c>
      <c r="B34" s="0" t="n">
        <f aca="false">[1]Metals!$F33</f>
        <v>10</v>
      </c>
      <c r="C34" s="6" t="e">
        <f aca="false">SMITHING_CHECK($B34, $I$4, $K$4, $M$4, $H$4, 1, $I$9, $I$6, $I$7, $H$15)</f>
        <v>#VALUE!</v>
      </c>
      <c r="D34" s="6" t="e">
        <f aca="false">SMITHING_CHECK($B34, $I$4, $K$4, $M$4, $H$4, 2, $I$9, $I$6, $I$7, $H$15)</f>
        <v>#VALUE!</v>
      </c>
      <c r="E34" s="6" t="e">
        <f aca="false">SMITHING_CHECK($B34, $I$4, $K$4, $M$4, $H$4, 3, $I$9, $I$6, $I$7, $H$15)</f>
        <v>#VALUE!</v>
      </c>
      <c r="F34" s="6" t="e">
        <f aca="false">SMITHING_CHECK($B34, $I$4, $K$4, $M$4, $H$4, 4, $I$9, $I$6, $I$7, $H$15)</f>
        <v>#VALUE!</v>
      </c>
    </row>
    <row r="35" customFormat="false" ht="15" hidden="false" customHeight="false" outlineLevel="0" collapsed="false">
      <c r="A35" s="0" t="str">
        <f aca="false">[1]Metals!$A34</f>
        <v>Stygian Iron</v>
      </c>
      <c r="B35" s="0" t="n">
        <f aca="false">[1]Metals!$F34</f>
        <v>8</v>
      </c>
      <c r="C35" s="6" t="e">
        <f aca="false">SMITHING_CHECK($B35, $I$4, $K$4, $M$4, $H$4, 1, $I$9, $I$6, $I$7, $H$15)</f>
        <v>#VALUE!</v>
      </c>
      <c r="D35" s="6" t="e">
        <f aca="false">SMITHING_CHECK($B35, $I$4, $K$4, $M$4, $H$4, 2, $I$9, $I$6, $I$7, $H$15)</f>
        <v>#VALUE!</v>
      </c>
      <c r="E35" s="6" t="e">
        <f aca="false">SMITHING_CHECK($B35, $I$4, $K$4, $M$4, $H$4, 3, $I$9, $I$6, $I$7, $H$15)</f>
        <v>#VALUE!</v>
      </c>
      <c r="F35" s="6" t="e">
        <f aca="false">SMITHING_CHECK($B35, $I$4, $K$4, $M$4, $H$4, 4, $I$9, $I$6, $I$7, $H$15)</f>
        <v>#VALUE!</v>
      </c>
    </row>
    <row r="36" customFormat="false" ht="15" hidden="false" customHeight="false" outlineLevel="0" collapsed="false">
      <c r="A36" s="0" t="str">
        <f aca="false">[1]Metals!$A35</f>
        <v>Stygian Steel</v>
      </c>
      <c r="B36" s="0" t="n">
        <f aca="false">[1]Metals!$F35</f>
        <v>10</v>
      </c>
      <c r="C36" s="6" t="e">
        <f aca="false">SMITHING_CHECK($B36, $I$4, $K$4, $M$4, $H$4, 1, $I$9, $I$6, $I$7, $H$15)</f>
        <v>#VALUE!</v>
      </c>
      <c r="D36" s="6" t="e">
        <f aca="false">SMITHING_CHECK($B36, $I$4, $K$4, $M$4, $H$4, 2, $I$9, $I$6, $I$7, $H$15)</f>
        <v>#VALUE!</v>
      </c>
      <c r="E36" s="6" t="e">
        <f aca="false">SMITHING_CHECK($B36, $I$4, $K$4, $M$4, $H$4, 3, $I$9, $I$6, $I$7, $H$15)</f>
        <v>#VALUE!</v>
      </c>
      <c r="F36" s="6" t="e">
        <f aca="false">SMITHING_CHECK($B36, $I$4, $K$4, $M$4, $H$4, 4, $I$9, $I$6, $I$7, $H$15)</f>
        <v>#VALUE!</v>
      </c>
    </row>
    <row r="37" customFormat="false" ht="15" hidden="false" customHeight="false" outlineLevel="0" collapsed="false">
      <c r="A37" s="13" t="str">
        <f aca="false">[1]Metals!$A36</f>
        <v>Proteus</v>
      </c>
      <c r="B37" s="13" t="n">
        <f aca="false">[1]Metals!$F36</f>
        <v>8</v>
      </c>
      <c r="C37" s="14" t="e">
        <f aca="false">SMITHING_CHECK($B37, $I$4, $K$4, $M$4, $H$4, 1, $I$9, $I$6, $I$7, $H$15)</f>
        <v>#VALUE!</v>
      </c>
      <c r="D37" s="14" t="e">
        <f aca="false">SMITHING_CHECK($B37, $I$4, $K$4, $M$4, $H$4, 2, $I$9, $I$6, $I$7, $H$15)</f>
        <v>#VALUE!</v>
      </c>
      <c r="E37" s="14" t="e">
        <f aca="false">SMITHING_CHECK($B37, $I$4, $K$4, $M$4, $H$4, 3, $I$9, $I$6, $I$7, $H$15)</f>
        <v>#VALUE!</v>
      </c>
      <c r="F37" s="14" t="e">
        <f aca="false">SMITHING_CHECK($B37, $I$4, $K$4, $M$4, $H$4, 4, $I$9, $I$6, $I$7, $H$15)</f>
        <v>#VALUE!</v>
      </c>
    </row>
  </sheetData>
  <mergeCells count="7">
    <mergeCell ref="A1:A2"/>
    <mergeCell ref="B1:B2"/>
    <mergeCell ref="C1:F1"/>
    <mergeCell ref="H1:H2"/>
    <mergeCell ref="I1:N1"/>
    <mergeCell ref="H14:I14"/>
    <mergeCell ref="H15:I15"/>
  </mergeCells>
  <conditionalFormatting sqref="C3:F37">
    <cfRule type="expression" priority="2" aboveAverage="0" equalAverage="0" bottom="0" percent="0" rank="0" text="" dxfId="0">
      <formula>$I$9 &gt; 0</formula>
    </cfRule>
  </conditionalFormatting>
  <dataValidations count="3">
    <dataValidation allowBlank="true" errorStyle="stop" operator="between" showDropDown="false" showErrorMessage="true" showInputMessage="true" sqref="I6:I7 I10:I11" type="list">
      <formula1>"Yes,No"</formula1>
      <formula2>0</formula2>
    </dataValidation>
    <dataValidation allowBlank="true" errorStyle="stop" operator="between" showDropDown="false" showErrorMessage="true" showInputMessage="true" sqref="I9" type="list">
      <formula1>"0,1,2,3,4"</formula1>
      <formula2>0</formula2>
    </dataValidation>
    <dataValidation allowBlank="true" errorStyle="stop" operator="between" showDropDown="false" showErrorMessage="true" showInputMessage="true" sqref="H15:I15" type="list">
      <formula1>"Partial Success,Complete Success"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93</TotalTime>
  <Application>LibreOffice/7.1.5.2$Windows_X86_64 LibreOffice_project/85f04e9f809797b8199d13c421bd8a2b025d52b5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2021-01-30T22:51:48Z</dcterms:created>
  <dc:creator>Charles Knight</dc:creator>
  <dc:description/>
  <dc:language>en-GB</dc:language>
  <cp:lastModifiedBy/>
  <dcterms:modified xsi:type="dcterms:W3CDTF">2021-09-08T16:21:39Z</dcterms:modified>
  <cp:revision>1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